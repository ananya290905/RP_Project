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Computer Science\AnanyaSingh_Project_Data\RP_Project\Annotation Data\"/>
    </mc:Choice>
  </mc:AlternateContent>
  <xr:revisionPtr revIDLastSave="0" documentId="8_{6041B4C5-113C-4381-81B7-8664B3AA8AB2}" xr6:coauthVersionLast="47" xr6:coauthVersionMax="47" xr10:uidLastSave="{00000000-0000-0000-0000-000000000000}"/>
  <bookViews>
    <workbookView xWindow="-108" yWindow="-108" windowWidth="23256" windowHeight="12456" xr2:uid="{B56C5298-E487-4D56-9E63-4E218B2D2227}"/>
  </bookViews>
  <sheets>
    <sheet name="Test Transcripts" sheetId="8" r:id="rId1"/>
    <sheet name="Train - Iteration 1" sheetId="1" r:id="rId2"/>
    <sheet name="Train - Iteration 2" sheetId="2" r:id="rId3"/>
    <sheet name="Train - Iteration 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8" i="3" l="1"/>
  <c r="V8" i="3"/>
  <c r="U8" i="3"/>
  <c r="W7" i="3"/>
  <c r="V7" i="3"/>
  <c r="U7" i="3"/>
  <c r="W6" i="3"/>
  <c r="V6" i="3"/>
  <c r="U6" i="3"/>
  <c r="W4" i="3"/>
  <c r="V4" i="3"/>
  <c r="U4" i="3"/>
  <c r="W3" i="3"/>
  <c r="V3" i="3"/>
  <c r="U3" i="3"/>
  <c r="W2" i="3"/>
  <c r="V2" i="3"/>
  <c r="U2" i="3"/>
  <c r="W8" i="2"/>
  <c r="V8" i="2"/>
  <c r="U8" i="2"/>
  <c r="W7" i="2"/>
  <c r="V7" i="2"/>
  <c r="U7" i="2"/>
  <c r="W6" i="2"/>
  <c r="V6" i="2"/>
  <c r="U6" i="2"/>
  <c r="W4" i="2"/>
  <c r="V4" i="2"/>
  <c r="U4" i="2"/>
  <c r="W3" i="2"/>
  <c r="V3" i="2"/>
  <c r="U3" i="2"/>
  <c r="W2" i="2"/>
  <c r="V2" i="2"/>
  <c r="U2" i="2"/>
  <c r="U4" i="1"/>
  <c r="U3" i="1"/>
  <c r="U2" i="1"/>
  <c r="U6" i="1"/>
  <c r="U8" i="1"/>
  <c r="U7" i="1"/>
  <c r="W8" i="1"/>
  <c r="V8" i="1"/>
  <c r="W7" i="1"/>
  <c r="V7" i="1"/>
  <c r="W6" i="1"/>
  <c r="V6" i="1"/>
  <c r="W4" i="1"/>
  <c r="V4" i="1"/>
  <c r="W3" i="1"/>
  <c r="V3" i="1"/>
  <c r="W2" i="1"/>
  <c r="V2" i="1"/>
</calcChain>
</file>

<file path=xl/sharedStrings.xml><?xml version="1.0" encoding="utf-8"?>
<sst xmlns="http://schemas.openxmlformats.org/spreadsheetml/2006/main" count="672" uniqueCount="72">
  <si>
    <t>Medical Devices</t>
  </si>
  <si>
    <t>Zero Shot</t>
  </si>
  <si>
    <t>Few Shot</t>
  </si>
  <si>
    <t>COT</t>
  </si>
  <si>
    <t>V</t>
  </si>
  <si>
    <t>VT</t>
  </si>
  <si>
    <t>C</t>
  </si>
  <si>
    <t>TP</t>
  </si>
  <si>
    <t>FP</t>
  </si>
  <si>
    <t>FN</t>
  </si>
  <si>
    <t>Online Safety</t>
  </si>
  <si>
    <t>-</t>
  </si>
  <si>
    <t>Terrorism</t>
  </si>
  <si>
    <t>Data Protection</t>
  </si>
  <si>
    <t>Work for Prisoners</t>
  </si>
  <si>
    <t>Transcript 1</t>
  </si>
  <si>
    <t>Transcript 2</t>
  </si>
  <si>
    <t>Transcript 3</t>
  </si>
  <si>
    <t>Transcript 4</t>
  </si>
  <si>
    <t>Transcript 5</t>
  </si>
  <si>
    <t>Transcript 6</t>
  </si>
  <si>
    <t>Gemma</t>
  </si>
  <si>
    <t>Qwen</t>
  </si>
  <si>
    <t>Mistral</t>
  </si>
  <si>
    <t>Precision</t>
  </si>
  <si>
    <t>Recall</t>
  </si>
  <si>
    <t>F1</t>
  </si>
  <si>
    <t>T1G</t>
  </si>
  <si>
    <t>T1Q</t>
  </si>
  <si>
    <t>T1M</t>
  </si>
  <si>
    <t>T2G</t>
  </si>
  <si>
    <t>T2Q</t>
  </si>
  <si>
    <t>T2M</t>
  </si>
  <si>
    <t>T3G</t>
  </si>
  <si>
    <t>T3Q</t>
  </si>
  <si>
    <t>T3M</t>
  </si>
  <si>
    <t>T4G</t>
  </si>
  <si>
    <t>T4Q</t>
  </si>
  <si>
    <t>T4M</t>
  </si>
  <si>
    <t>T5G</t>
  </si>
  <si>
    <t>T5Q</t>
  </si>
  <si>
    <t>T5M</t>
  </si>
  <si>
    <t>T6G</t>
  </si>
  <si>
    <t>T6Q</t>
  </si>
  <si>
    <t>T6M</t>
  </si>
  <si>
    <t>T1Z</t>
  </si>
  <si>
    <t>T1F</t>
  </si>
  <si>
    <t>T1C</t>
  </si>
  <si>
    <t>T2Z</t>
  </si>
  <si>
    <t>T2F</t>
  </si>
  <si>
    <t>T2C</t>
  </si>
  <si>
    <t>T3Z</t>
  </si>
  <si>
    <t>T3F</t>
  </si>
  <si>
    <t>T3C</t>
  </si>
  <si>
    <t>T4Z</t>
  </si>
  <si>
    <t>T4F</t>
  </si>
  <si>
    <t>T4C</t>
  </si>
  <si>
    <t>T5Z</t>
  </si>
  <si>
    <t>T5F</t>
  </si>
  <si>
    <t>T5C</t>
  </si>
  <si>
    <t>T6Z</t>
  </si>
  <si>
    <t>T6F</t>
  </si>
  <si>
    <t>T6C</t>
  </si>
  <si>
    <t>GemmaC</t>
  </si>
  <si>
    <t>GemmaF</t>
  </si>
  <si>
    <t>GemmaZ</t>
  </si>
  <si>
    <t>QwenC</t>
  </si>
  <si>
    <t>QwenF</t>
  </si>
  <si>
    <t>QwenZ</t>
  </si>
  <si>
    <t>MistralC</t>
  </si>
  <si>
    <t>MistralF</t>
  </si>
  <si>
    <t>MistralZ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</si>
</sst>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CF81-FB22-461D-8E1B-3404B1BCC961}">
  <dimension ref="A1:AJ82"/>
  <sheetViews>
    <sheetView tabSelected="1" zoomScale="55" zoomScaleNormal="55" workbookViewId="0">
      <selection activeCell="Y8" sqref="Y8"/>
    </sheetView>
  </sheetViews>
  <sheetFormatPr defaultRowHeight="14.4" x14ac:dyDescent="0.3"/>
  <sheetData>
    <row r="1" spans="1:36" x14ac:dyDescent="0.3">
      <c r="A1" t="s">
        <v>15</v>
      </c>
    </row>
    <row r="2" spans="1:36" x14ac:dyDescent="0.3">
      <c r="B2" t="s">
        <v>21</v>
      </c>
      <c r="H2" t="s">
        <v>22</v>
      </c>
      <c r="N2" t="s">
        <v>23</v>
      </c>
    </row>
    <row r="3" spans="1:36" x14ac:dyDescent="0.3">
      <c r="C3" t="s">
        <v>7</v>
      </c>
      <c r="D3" t="s">
        <v>8</v>
      </c>
      <c r="E3" t="s">
        <v>9</v>
      </c>
      <c r="I3" t="s">
        <v>7</v>
      </c>
      <c r="J3" t="s">
        <v>8</v>
      </c>
      <c r="K3" t="s">
        <v>9</v>
      </c>
      <c r="O3" t="s">
        <v>7</v>
      </c>
      <c r="P3" t="s">
        <v>8</v>
      </c>
      <c r="Q3" t="s">
        <v>9</v>
      </c>
    </row>
    <row r="4" spans="1:36" x14ac:dyDescent="0.3">
      <c r="A4" t="s">
        <v>1</v>
      </c>
      <c r="B4" t="s">
        <v>4</v>
      </c>
      <c r="C4">
        <v>4</v>
      </c>
      <c r="D4">
        <v>0</v>
      </c>
      <c r="E4">
        <v>2</v>
      </c>
      <c r="G4" t="s">
        <v>1</v>
      </c>
      <c r="H4" t="s">
        <v>4</v>
      </c>
      <c r="I4">
        <v>2</v>
      </c>
      <c r="J4">
        <v>2</v>
      </c>
      <c r="K4">
        <v>4</v>
      </c>
      <c r="M4" t="s">
        <v>1</v>
      </c>
      <c r="N4" t="s">
        <v>4</v>
      </c>
      <c r="O4">
        <v>1</v>
      </c>
      <c r="P4">
        <v>1</v>
      </c>
      <c r="Q4">
        <v>5</v>
      </c>
      <c r="T4" t="s">
        <v>7</v>
      </c>
      <c r="U4" t="s">
        <v>8</v>
      </c>
      <c r="V4" t="s">
        <v>9</v>
      </c>
      <c r="X4" t="s">
        <v>24</v>
      </c>
      <c r="Y4" t="s">
        <v>25</v>
      </c>
      <c r="Z4" t="s">
        <v>26</v>
      </c>
      <c r="AD4" t="s">
        <v>7</v>
      </c>
      <c r="AE4" t="s">
        <v>8</v>
      </c>
      <c r="AF4" t="s">
        <v>9</v>
      </c>
      <c r="AH4" t="s">
        <v>24</v>
      </c>
      <c r="AI4" t="s">
        <v>25</v>
      </c>
      <c r="AJ4" t="s">
        <v>26</v>
      </c>
    </row>
    <row r="5" spans="1:36" x14ac:dyDescent="0.3">
      <c r="B5" t="s">
        <v>5</v>
      </c>
      <c r="C5">
        <v>1</v>
      </c>
      <c r="D5">
        <v>0</v>
      </c>
      <c r="E5">
        <v>1</v>
      </c>
      <c r="H5" t="s">
        <v>5</v>
      </c>
      <c r="I5">
        <v>0</v>
      </c>
      <c r="J5">
        <v>1</v>
      </c>
      <c r="K5">
        <v>2</v>
      </c>
      <c r="N5" t="s">
        <v>5</v>
      </c>
      <c r="O5">
        <v>0</v>
      </c>
      <c r="P5">
        <v>7</v>
      </c>
      <c r="Q5">
        <v>2</v>
      </c>
      <c r="S5" t="s">
        <v>1</v>
      </c>
      <c r="T5">
        <v>91</v>
      </c>
      <c r="U5">
        <v>70</v>
      </c>
      <c r="V5">
        <v>70</v>
      </c>
      <c r="X5">
        <v>0.56521739100000001</v>
      </c>
      <c r="Y5">
        <v>0.56521739100000001</v>
      </c>
      <c r="Z5">
        <v>0.56521739100000001</v>
      </c>
      <c r="AC5" t="s">
        <v>63</v>
      </c>
      <c r="AD5">
        <v>31</v>
      </c>
      <c r="AE5">
        <v>19</v>
      </c>
      <c r="AF5">
        <v>38</v>
      </c>
      <c r="AH5">
        <v>0.62</v>
      </c>
      <c r="AI5">
        <v>0.44927536200000001</v>
      </c>
      <c r="AJ5">
        <v>0.52100840299999995</v>
      </c>
    </row>
    <row r="6" spans="1:36" x14ac:dyDescent="0.3">
      <c r="B6" t="s">
        <v>6</v>
      </c>
      <c r="C6">
        <v>1</v>
      </c>
      <c r="D6">
        <v>1</v>
      </c>
      <c r="E6">
        <v>0</v>
      </c>
      <c r="H6" t="s">
        <v>6</v>
      </c>
      <c r="I6">
        <v>0</v>
      </c>
      <c r="J6">
        <v>0</v>
      </c>
      <c r="K6">
        <v>1</v>
      </c>
      <c r="N6" t="s">
        <v>6</v>
      </c>
      <c r="O6">
        <v>1</v>
      </c>
      <c r="P6">
        <v>2</v>
      </c>
      <c r="Q6">
        <v>0</v>
      </c>
      <c r="S6" t="s">
        <v>2</v>
      </c>
      <c r="T6">
        <v>101</v>
      </c>
      <c r="U6">
        <v>92</v>
      </c>
      <c r="V6">
        <v>37</v>
      </c>
      <c r="X6">
        <v>0.52331606200000003</v>
      </c>
      <c r="Y6">
        <v>0.731884058</v>
      </c>
      <c r="Z6">
        <v>0.610271903</v>
      </c>
      <c r="AC6" t="s">
        <v>64</v>
      </c>
      <c r="AD6">
        <v>37</v>
      </c>
      <c r="AE6">
        <v>35</v>
      </c>
      <c r="AF6">
        <v>32</v>
      </c>
      <c r="AH6">
        <v>0.51388888899999996</v>
      </c>
      <c r="AI6">
        <v>0.53623188399999999</v>
      </c>
      <c r="AJ6">
        <v>0.52482269500000001</v>
      </c>
    </row>
    <row r="7" spans="1:36" x14ac:dyDescent="0.3">
      <c r="A7" t="s">
        <v>2</v>
      </c>
      <c r="B7" t="s">
        <v>4</v>
      </c>
      <c r="C7">
        <v>5</v>
      </c>
      <c r="D7">
        <v>2</v>
      </c>
      <c r="E7">
        <v>1</v>
      </c>
      <c r="G7" t="s">
        <v>2</v>
      </c>
      <c r="H7" t="s">
        <v>4</v>
      </c>
      <c r="I7">
        <v>1</v>
      </c>
      <c r="J7">
        <v>1</v>
      </c>
      <c r="K7">
        <v>5</v>
      </c>
      <c r="M7" t="s">
        <v>2</v>
      </c>
      <c r="N7" t="s">
        <v>4</v>
      </c>
      <c r="O7">
        <v>2</v>
      </c>
      <c r="P7">
        <v>0</v>
      </c>
      <c r="Q7">
        <v>4</v>
      </c>
      <c r="S7" t="s">
        <v>3</v>
      </c>
      <c r="T7">
        <v>79</v>
      </c>
      <c r="U7">
        <v>57</v>
      </c>
      <c r="V7">
        <v>105</v>
      </c>
      <c r="X7">
        <v>0.58088235300000002</v>
      </c>
      <c r="Y7">
        <v>0.42934782599999999</v>
      </c>
      <c r="Z7">
        <v>0.49375000000000002</v>
      </c>
      <c r="AC7" t="s">
        <v>65</v>
      </c>
      <c r="AD7">
        <v>34</v>
      </c>
      <c r="AE7">
        <v>15</v>
      </c>
      <c r="AF7">
        <v>35</v>
      </c>
      <c r="AH7">
        <v>0.69387755100000004</v>
      </c>
      <c r="AI7">
        <v>0.49275362299999997</v>
      </c>
      <c r="AJ7">
        <v>0.57627118600000005</v>
      </c>
    </row>
    <row r="8" spans="1:36" x14ac:dyDescent="0.3">
      <c r="B8" t="s">
        <v>5</v>
      </c>
      <c r="C8">
        <v>2</v>
      </c>
      <c r="D8">
        <v>2</v>
      </c>
      <c r="E8">
        <v>0</v>
      </c>
      <c r="H8" t="s">
        <v>5</v>
      </c>
      <c r="I8">
        <v>1</v>
      </c>
      <c r="J8">
        <v>4</v>
      </c>
      <c r="K8">
        <v>1</v>
      </c>
      <c r="N8" t="s">
        <v>5</v>
      </c>
      <c r="O8">
        <v>1</v>
      </c>
      <c r="P8">
        <v>1</v>
      </c>
      <c r="Q8">
        <v>1</v>
      </c>
      <c r="AC8" t="s">
        <v>66</v>
      </c>
      <c r="AD8">
        <v>20</v>
      </c>
      <c r="AE8">
        <v>12</v>
      </c>
      <c r="AF8">
        <v>49</v>
      </c>
      <c r="AH8">
        <v>0.625</v>
      </c>
      <c r="AI8">
        <v>0.28985507199999999</v>
      </c>
      <c r="AJ8">
        <v>0.39603960399999999</v>
      </c>
    </row>
    <row r="9" spans="1:36" x14ac:dyDescent="0.3">
      <c r="B9" t="s">
        <v>6</v>
      </c>
      <c r="C9">
        <v>1</v>
      </c>
      <c r="D9">
        <v>0</v>
      </c>
      <c r="E9">
        <v>0</v>
      </c>
      <c r="H9" t="s">
        <v>6</v>
      </c>
      <c r="I9">
        <v>1</v>
      </c>
      <c r="J9">
        <v>2</v>
      </c>
      <c r="K9">
        <v>0</v>
      </c>
      <c r="N9" t="s">
        <v>6</v>
      </c>
      <c r="O9">
        <v>1</v>
      </c>
      <c r="P9">
        <v>0</v>
      </c>
      <c r="Q9">
        <v>0</v>
      </c>
      <c r="S9" t="s">
        <v>4</v>
      </c>
      <c r="T9">
        <v>180</v>
      </c>
      <c r="U9">
        <v>105</v>
      </c>
      <c r="V9">
        <v>171</v>
      </c>
      <c r="X9">
        <v>0.63157894699999995</v>
      </c>
      <c r="Y9">
        <v>0.51282051299999998</v>
      </c>
      <c r="Z9">
        <v>0.56603773599999996</v>
      </c>
      <c r="AC9" t="s">
        <v>67</v>
      </c>
      <c r="AD9">
        <v>25</v>
      </c>
      <c r="AE9">
        <v>28</v>
      </c>
      <c r="AF9">
        <v>39</v>
      </c>
      <c r="AH9">
        <v>0.47169811299999997</v>
      </c>
      <c r="AI9">
        <v>0.390625</v>
      </c>
      <c r="AJ9">
        <v>0.42735042699999998</v>
      </c>
    </row>
    <row r="10" spans="1:36" x14ac:dyDescent="0.3">
      <c r="A10" t="s">
        <v>3</v>
      </c>
      <c r="B10" t="s">
        <v>4</v>
      </c>
      <c r="C10">
        <v>6</v>
      </c>
      <c r="D10">
        <v>5</v>
      </c>
      <c r="E10">
        <v>0</v>
      </c>
      <c r="G10" t="s">
        <v>3</v>
      </c>
      <c r="H10" t="s">
        <v>4</v>
      </c>
      <c r="I10">
        <v>0</v>
      </c>
      <c r="J10">
        <v>0</v>
      </c>
      <c r="K10">
        <v>6</v>
      </c>
      <c r="M10" t="s">
        <v>3</v>
      </c>
      <c r="N10" t="s">
        <v>4</v>
      </c>
      <c r="O10">
        <v>4</v>
      </c>
      <c r="P10">
        <v>2</v>
      </c>
      <c r="Q10">
        <v>2</v>
      </c>
      <c r="S10" t="s">
        <v>5</v>
      </c>
      <c r="T10">
        <v>37</v>
      </c>
      <c r="U10">
        <v>83</v>
      </c>
      <c r="V10">
        <v>79</v>
      </c>
      <c r="X10">
        <v>0.30833333299999999</v>
      </c>
      <c r="Y10">
        <v>0.31896551699999998</v>
      </c>
      <c r="Z10">
        <v>0.31355932199999997</v>
      </c>
      <c r="AC10" t="s">
        <v>68</v>
      </c>
      <c r="AD10">
        <v>27</v>
      </c>
      <c r="AE10">
        <v>21</v>
      </c>
      <c r="AF10">
        <v>44</v>
      </c>
      <c r="AH10">
        <v>0.5625</v>
      </c>
      <c r="AI10">
        <v>0.38028169000000001</v>
      </c>
      <c r="AJ10">
        <v>0.45378151300000003</v>
      </c>
    </row>
    <row r="11" spans="1:36" x14ac:dyDescent="0.3">
      <c r="B11" t="s">
        <v>5</v>
      </c>
      <c r="C11">
        <v>0</v>
      </c>
      <c r="D11">
        <v>0</v>
      </c>
      <c r="E11">
        <v>2</v>
      </c>
      <c r="H11" t="s">
        <v>5</v>
      </c>
      <c r="I11">
        <v>0</v>
      </c>
      <c r="J11">
        <v>2</v>
      </c>
      <c r="K11">
        <v>2</v>
      </c>
      <c r="N11" t="s">
        <v>5</v>
      </c>
      <c r="O11">
        <v>0</v>
      </c>
      <c r="P11">
        <v>2</v>
      </c>
      <c r="Q11">
        <v>2</v>
      </c>
      <c r="S11" t="s">
        <v>6</v>
      </c>
      <c r="T11">
        <v>54</v>
      </c>
      <c r="U11">
        <v>31</v>
      </c>
      <c r="V11">
        <v>95</v>
      </c>
      <c r="X11">
        <v>0.63529411800000002</v>
      </c>
      <c r="Y11">
        <v>0.36241610699999999</v>
      </c>
      <c r="Z11">
        <v>0.46153846199999998</v>
      </c>
      <c r="AC11" t="s">
        <v>69</v>
      </c>
      <c r="AD11">
        <v>28</v>
      </c>
      <c r="AE11">
        <v>26</v>
      </c>
      <c r="AF11">
        <v>41</v>
      </c>
      <c r="AH11">
        <v>0.51851851900000001</v>
      </c>
      <c r="AI11">
        <v>0.40579710099999999</v>
      </c>
      <c r="AJ11">
        <v>0.45528455299999998</v>
      </c>
    </row>
    <row r="12" spans="1:36" x14ac:dyDescent="0.3">
      <c r="B12" t="s">
        <v>6</v>
      </c>
      <c r="C12">
        <v>1</v>
      </c>
      <c r="D12">
        <v>0</v>
      </c>
      <c r="E12">
        <v>0</v>
      </c>
      <c r="H12" t="s">
        <v>6</v>
      </c>
      <c r="I12">
        <v>1</v>
      </c>
      <c r="J12">
        <v>0</v>
      </c>
      <c r="K12">
        <v>0</v>
      </c>
      <c r="N12" t="s">
        <v>6</v>
      </c>
      <c r="O12">
        <v>1</v>
      </c>
      <c r="P12">
        <v>0</v>
      </c>
      <c r="Q12">
        <v>0</v>
      </c>
      <c r="AC12" t="s">
        <v>70</v>
      </c>
      <c r="AD12">
        <v>35</v>
      </c>
      <c r="AE12">
        <v>29</v>
      </c>
      <c r="AF12">
        <v>34</v>
      </c>
      <c r="AH12">
        <v>0.546875</v>
      </c>
      <c r="AI12">
        <v>0.50724637699999997</v>
      </c>
      <c r="AJ12">
        <v>0.52631578899999998</v>
      </c>
    </row>
    <row r="13" spans="1:36" x14ac:dyDescent="0.3">
      <c r="S13" t="s">
        <v>21</v>
      </c>
      <c r="T13">
        <v>102</v>
      </c>
      <c r="U13">
        <v>69</v>
      </c>
      <c r="V13">
        <v>105</v>
      </c>
      <c r="X13">
        <v>0.59649122799999998</v>
      </c>
      <c r="Y13">
        <v>0.49275362299999997</v>
      </c>
      <c r="Z13">
        <v>0.53968254000000004</v>
      </c>
      <c r="AC13" t="s">
        <v>71</v>
      </c>
      <c r="AD13">
        <v>30</v>
      </c>
      <c r="AE13">
        <v>34</v>
      </c>
      <c r="AF13">
        <v>39</v>
      </c>
      <c r="AH13">
        <v>0.46875</v>
      </c>
      <c r="AI13">
        <v>0.43478260899999999</v>
      </c>
      <c r="AJ13">
        <v>0.45112782000000001</v>
      </c>
    </row>
    <row r="14" spans="1:36" x14ac:dyDescent="0.3">
      <c r="S14" t="s">
        <v>22</v>
      </c>
      <c r="T14">
        <v>76</v>
      </c>
      <c r="U14">
        <v>61</v>
      </c>
      <c r="V14">
        <v>132</v>
      </c>
      <c r="X14">
        <v>0.55474452600000002</v>
      </c>
      <c r="Y14">
        <v>0.36538461500000002</v>
      </c>
      <c r="Z14">
        <v>0.44057971000000001</v>
      </c>
    </row>
    <row r="15" spans="1:36" x14ac:dyDescent="0.3">
      <c r="A15" t="s">
        <v>16</v>
      </c>
      <c r="S15" t="s">
        <v>23</v>
      </c>
      <c r="T15">
        <v>93</v>
      </c>
      <c r="U15">
        <v>89</v>
      </c>
      <c r="V15">
        <v>114</v>
      </c>
      <c r="X15">
        <v>0.51098901100000005</v>
      </c>
      <c r="Y15">
        <v>0.44927536200000001</v>
      </c>
      <c r="Z15">
        <v>0.47814909999999999</v>
      </c>
    </row>
    <row r="16" spans="1:36" x14ac:dyDescent="0.3">
      <c r="B16" t="s">
        <v>21</v>
      </c>
      <c r="H16" t="s">
        <v>22</v>
      </c>
      <c r="N16" t="s">
        <v>23</v>
      </c>
    </row>
    <row r="17" spans="1:28" x14ac:dyDescent="0.3">
      <c r="C17" t="s">
        <v>7</v>
      </c>
      <c r="D17" t="s">
        <v>8</v>
      </c>
      <c r="E17" t="s">
        <v>9</v>
      </c>
      <c r="I17" t="s">
        <v>7</v>
      </c>
      <c r="J17" t="s">
        <v>8</v>
      </c>
      <c r="K17" t="s">
        <v>9</v>
      </c>
      <c r="O17" t="s">
        <v>7</v>
      </c>
      <c r="P17" t="s">
        <v>8</v>
      </c>
      <c r="Q17" t="s">
        <v>9</v>
      </c>
      <c r="S17" t="s">
        <v>27</v>
      </c>
      <c r="T17">
        <v>21</v>
      </c>
      <c r="U17">
        <v>10</v>
      </c>
      <c r="V17">
        <v>6</v>
      </c>
      <c r="X17">
        <v>0.67741935499999995</v>
      </c>
      <c r="Y17">
        <v>0.77777777800000003</v>
      </c>
      <c r="Z17">
        <v>0.72413793100000001</v>
      </c>
      <c r="AB17">
        <v>0.102642414</v>
      </c>
    </row>
    <row r="18" spans="1:28" x14ac:dyDescent="0.3">
      <c r="A18" t="s">
        <v>1</v>
      </c>
      <c r="B18" t="s">
        <v>4</v>
      </c>
      <c r="C18">
        <v>5</v>
      </c>
      <c r="D18">
        <v>1</v>
      </c>
      <c r="E18">
        <v>2</v>
      </c>
      <c r="G18" t="s">
        <v>1</v>
      </c>
      <c r="H18" t="s">
        <v>4</v>
      </c>
      <c r="I18">
        <v>2</v>
      </c>
      <c r="J18">
        <v>1</v>
      </c>
      <c r="K18">
        <v>5</v>
      </c>
      <c r="M18" t="s">
        <v>1</v>
      </c>
      <c r="N18" t="s">
        <v>4</v>
      </c>
      <c r="O18">
        <v>6</v>
      </c>
      <c r="P18">
        <v>5</v>
      </c>
      <c r="Q18">
        <v>1</v>
      </c>
      <c r="S18" t="s">
        <v>28</v>
      </c>
      <c r="T18">
        <v>6</v>
      </c>
      <c r="U18">
        <v>12</v>
      </c>
      <c r="V18">
        <v>21</v>
      </c>
      <c r="X18">
        <v>0.33333333300000001</v>
      </c>
      <c r="Y18">
        <v>0.222222222</v>
      </c>
      <c r="Z18">
        <v>0.26666666700000002</v>
      </c>
      <c r="AB18">
        <v>0.138084558</v>
      </c>
    </row>
    <row r="19" spans="1:28" x14ac:dyDescent="0.3">
      <c r="B19" t="s">
        <v>5</v>
      </c>
      <c r="C19">
        <v>0</v>
      </c>
      <c r="D19">
        <v>1</v>
      </c>
      <c r="E19">
        <v>2</v>
      </c>
      <c r="H19" t="s">
        <v>5</v>
      </c>
      <c r="I19">
        <v>0</v>
      </c>
      <c r="J19">
        <v>3</v>
      </c>
      <c r="K19">
        <v>2</v>
      </c>
      <c r="N19" t="s">
        <v>5</v>
      </c>
      <c r="O19">
        <v>1</v>
      </c>
      <c r="P19">
        <v>2</v>
      </c>
      <c r="Q19">
        <v>1</v>
      </c>
      <c r="S19" t="s">
        <v>29</v>
      </c>
      <c r="T19">
        <v>11</v>
      </c>
      <c r="U19">
        <v>15</v>
      </c>
      <c r="V19">
        <v>16</v>
      </c>
      <c r="X19">
        <v>0.42307692299999999</v>
      </c>
      <c r="Y19">
        <v>0.407407407</v>
      </c>
      <c r="Z19">
        <v>0.41509434000000001</v>
      </c>
      <c r="AB19">
        <v>0.10071899300000001</v>
      </c>
    </row>
    <row r="20" spans="1:28" x14ac:dyDescent="0.3">
      <c r="B20" t="s">
        <v>6</v>
      </c>
      <c r="C20">
        <v>1</v>
      </c>
      <c r="D20">
        <v>1</v>
      </c>
      <c r="E20">
        <v>3</v>
      </c>
      <c r="H20" t="s">
        <v>6</v>
      </c>
      <c r="I20">
        <v>2</v>
      </c>
      <c r="J20">
        <v>1</v>
      </c>
      <c r="K20">
        <v>4</v>
      </c>
      <c r="N20" t="s">
        <v>6</v>
      </c>
      <c r="O20">
        <v>0</v>
      </c>
      <c r="P20">
        <v>0</v>
      </c>
      <c r="Q20">
        <v>4</v>
      </c>
      <c r="S20" t="s">
        <v>30</v>
      </c>
      <c r="T20">
        <v>17</v>
      </c>
      <c r="U20">
        <v>17</v>
      </c>
      <c r="V20">
        <v>22</v>
      </c>
      <c r="X20">
        <v>0.5</v>
      </c>
      <c r="Y20">
        <v>0.43589743600000003</v>
      </c>
      <c r="Z20">
        <v>0.465753425</v>
      </c>
    </row>
    <row r="21" spans="1:28" x14ac:dyDescent="0.3">
      <c r="A21" t="s">
        <v>2</v>
      </c>
      <c r="B21" t="s">
        <v>4</v>
      </c>
      <c r="C21">
        <v>6</v>
      </c>
      <c r="D21">
        <v>6</v>
      </c>
      <c r="E21">
        <v>1</v>
      </c>
      <c r="G21" t="s">
        <v>2</v>
      </c>
      <c r="H21" t="s">
        <v>4</v>
      </c>
      <c r="I21">
        <v>4</v>
      </c>
      <c r="J21">
        <v>1</v>
      </c>
      <c r="K21">
        <v>3</v>
      </c>
      <c r="M21" t="s">
        <v>2</v>
      </c>
      <c r="N21" t="s">
        <v>4</v>
      </c>
      <c r="O21">
        <v>3</v>
      </c>
      <c r="P21">
        <v>1</v>
      </c>
      <c r="Q21">
        <v>4</v>
      </c>
      <c r="S21" t="s">
        <v>31</v>
      </c>
      <c r="T21">
        <v>11</v>
      </c>
      <c r="U21">
        <v>12</v>
      </c>
      <c r="V21">
        <v>30</v>
      </c>
      <c r="X21">
        <v>0.47826087</v>
      </c>
      <c r="Y21">
        <v>0.26829268299999998</v>
      </c>
      <c r="Z21">
        <v>0.34375</v>
      </c>
    </row>
    <row r="22" spans="1:28" x14ac:dyDescent="0.3">
      <c r="B22" t="s">
        <v>5</v>
      </c>
      <c r="C22">
        <v>0</v>
      </c>
      <c r="D22">
        <v>2</v>
      </c>
      <c r="E22">
        <v>2</v>
      </c>
      <c r="H22" t="s">
        <v>5</v>
      </c>
      <c r="I22">
        <v>0</v>
      </c>
      <c r="J22">
        <v>1</v>
      </c>
      <c r="K22">
        <v>2</v>
      </c>
      <c r="N22" t="s">
        <v>5</v>
      </c>
      <c r="O22">
        <v>0</v>
      </c>
      <c r="P22">
        <v>3</v>
      </c>
      <c r="Q22">
        <v>2</v>
      </c>
      <c r="S22" t="s">
        <v>32</v>
      </c>
      <c r="T22">
        <v>17</v>
      </c>
      <c r="U22">
        <v>15</v>
      </c>
      <c r="V22">
        <v>22</v>
      </c>
      <c r="X22">
        <v>0.53125</v>
      </c>
      <c r="Y22">
        <v>0.43589743600000003</v>
      </c>
      <c r="Z22">
        <v>0.47887323900000001</v>
      </c>
    </row>
    <row r="23" spans="1:28" x14ac:dyDescent="0.3">
      <c r="B23" t="s">
        <v>6</v>
      </c>
      <c r="C23">
        <v>0</v>
      </c>
      <c r="D23">
        <v>1</v>
      </c>
      <c r="E23">
        <v>4</v>
      </c>
      <c r="H23" t="s">
        <v>6</v>
      </c>
      <c r="I23">
        <v>0</v>
      </c>
      <c r="J23">
        <v>2</v>
      </c>
      <c r="K23">
        <v>4</v>
      </c>
      <c r="N23" t="s">
        <v>6</v>
      </c>
      <c r="O23">
        <v>1</v>
      </c>
      <c r="P23">
        <v>0</v>
      </c>
      <c r="Q23">
        <v>3</v>
      </c>
      <c r="S23" t="s">
        <v>33</v>
      </c>
      <c r="T23">
        <v>18</v>
      </c>
      <c r="U23">
        <v>13</v>
      </c>
      <c r="V23">
        <v>18</v>
      </c>
      <c r="X23">
        <v>0.58064516099999997</v>
      </c>
      <c r="Y23">
        <v>0.5</v>
      </c>
      <c r="Z23">
        <v>0.53731343300000001</v>
      </c>
    </row>
    <row r="24" spans="1:28" x14ac:dyDescent="0.3">
      <c r="A24" t="s">
        <v>3</v>
      </c>
      <c r="B24" t="s">
        <v>4</v>
      </c>
      <c r="C24">
        <v>5</v>
      </c>
      <c r="D24">
        <v>0</v>
      </c>
      <c r="E24">
        <v>2</v>
      </c>
      <c r="G24" t="s">
        <v>3</v>
      </c>
      <c r="H24" t="s">
        <v>4</v>
      </c>
      <c r="I24">
        <v>2</v>
      </c>
      <c r="J24">
        <v>0</v>
      </c>
      <c r="K24">
        <v>5</v>
      </c>
      <c r="M24" t="s">
        <v>3</v>
      </c>
      <c r="N24" t="s">
        <v>4</v>
      </c>
      <c r="O24">
        <v>5</v>
      </c>
      <c r="P24">
        <v>0</v>
      </c>
      <c r="Q24">
        <v>2</v>
      </c>
      <c r="S24" t="s">
        <v>34</v>
      </c>
      <c r="T24">
        <v>16</v>
      </c>
      <c r="U24">
        <v>6</v>
      </c>
      <c r="V24">
        <v>20</v>
      </c>
      <c r="X24">
        <v>0.72727272700000001</v>
      </c>
      <c r="Y24">
        <v>0.44444444399999999</v>
      </c>
      <c r="Z24">
        <v>0.55172413799999998</v>
      </c>
    </row>
    <row r="25" spans="1:28" x14ac:dyDescent="0.3">
      <c r="B25" t="s">
        <v>5</v>
      </c>
      <c r="C25">
        <v>0</v>
      </c>
      <c r="D25">
        <v>3</v>
      </c>
      <c r="E25">
        <v>2</v>
      </c>
      <c r="H25" t="s">
        <v>5</v>
      </c>
      <c r="I25">
        <v>0</v>
      </c>
      <c r="J25">
        <v>2</v>
      </c>
      <c r="K25">
        <v>2</v>
      </c>
      <c r="N25" t="s">
        <v>5</v>
      </c>
      <c r="O25">
        <v>1</v>
      </c>
      <c r="P25">
        <v>3</v>
      </c>
      <c r="Q25">
        <v>1</v>
      </c>
      <c r="S25" t="s">
        <v>35</v>
      </c>
      <c r="T25">
        <v>20</v>
      </c>
      <c r="U25">
        <v>22</v>
      </c>
      <c r="V25">
        <v>16</v>
      </c>
      <c r="X25">
        <v>0.47619047599999997</v>
      </c>
      <c r="Y25">
        <v>0.55555555599999995</v>
      </c>
      <c r="Z25">
        <v>0.51282051299999998</v>
      </c>
    </row>
    <row r="26" spans="1:28" x14ac:dyDescent="0.3">
      <c r="B26" t="s">
        <v>6</v>
      </c>
      <c r="C26">
        <v>0</v>
      </c>
      <c r="D26">
        <v>2</v>
      </c>
      <c r="E26">
        <v>4</v>
      </c>
      <c r="H26" t="s">
        <v>6</v>
      </c>
      <c r="I26">
        <v>1</v>
      </c>
      <c r="J26">
        <v>1</v>
      </c>
      <c r="K26">
        <v>3</v>
      </c>
      <c r="N26" t="s">
        <v>6</v>
      </c>
      <c r="O26">
        <v>0</v>
      </c>
      <c r="P26">
        <v>1</v>
      </c>
      <c r="Q26">
        <v>4</v>
      </c>
      <c r="S26" t="s">
        <v>36</v>
      </c>
      <c r="T26">
        <v>20</v>
      </c>
      <c r="U26">
        <v>6</v>
      </c>
      <c r="V26">
        <v>22</v>
      </c>
      <c r="X26">
        <v>0.76923076899999998</v>
      </c>
      <c r="Y26">
        <v>0.47619047599999997</v>
      </c>
      <c r="Z26">
        <v>0.58823529399999996</v>
      </c>
    </row>
    <row r="27" spans="1:28" x14ac:dyDescent="0.3">
      <c r="S27" t="s">
        <v>37</v>
      </c>
      <c r="T27">
        <v>21</v>
      </c>
      <c r="U27">
        <v>3</v>
      </c>
      <c r="V27">
        <v>21</v>
      </c>
      <c r="X27">
        <v>0.875</v>
      </c>
      <c r="Y27">
        <v>0.5</v>
      </c>
      <c r="Z27">
        <v>0.63636363600000001</v>
      </c>
    </row>
    <row r="28" spans="1:28" x14ac:dyDescent="0.3">
      <c r="S28" t="s">
        <v>38</v>
      </c>
      <c r="T28">
        <v>24</v>
      </c>
      <c r="U28">
        <v>11</v>
      </c>
      <c r="V28">
        <v>18</v>
      </c>
      <c r="X28">
        <v>0.68571428599999995</v>
      </c>
      <c r="Y28">
        <v>0.571428571</v>
      </c>
      <c r="Z28">
        <v>0.62337662299999996</v>
      </c>
    </row>
    <row r="29" spans="1:28" x14ac:dyDescent="0.3">
      <c r="A29" t="s">
        <v>17</v>
      </c>
      <c r="S29" t="s">
        <v>39</v>
      </c>
      <c r="T29">
        <v>16</v>
      </c>
      <c r="U29">
        <v>15</v>
      </c>
      <c r="V29">
        <v>23</v>
      </c>
      <c r="X29">
        <v>0.51612903200000004</v>
      </c>
      <c r="Y29">
        <v>0.41025641000000002</v>
      </c>
      <c r="Z29">
        <v>0.45714285700000001</v>
      </c>
    </row>
    <row r="30" spans="1:28" x14ac:dyDescent="0.3">
      <c r="B30" t="s">
        <v>21</v>
      </c>
      <c r="H30" t="s">
        <v>22</v>
      </c>
      <c r="N30" t="s">
        <v>23</v>
      </c>
      <c r="S30" t="s">
        <v>40</v>
      </c>
      <c r="T30">
        <v>12</v>
      </c>
      <c r="U30">
        <v>8</v>
      </c>
      <c r="V30">
        <v>26</v>
      </c>
      <c r="X30">
        <v>0.6</v>
      </c>
      <c r="Y30">
        <v>0.31578947400000001</v>
      </c>
      <c r="Z30">
        <v>0.413793103</v>
      </c>
    </row>
    <row r="31" spans="1:28" x14ac:dyDescent="0.3">
      <c r="C31" t="s">
        <v>7</v>
      </c>
      <c r="D31" t="s">
        <v>8</v>
      </c>
      <c r="E31" t="s">
        <v>9</v>
      </c>
      <c r="I31" t="s">
        <v>7</v>
      </c>
      <c r="J31" t="s">
        <v>8</v>
      </c>
      <c r="K31" t="s">
        <v>9</v>
      </c>
      <c r="O31" t="s">
        <v>7</v>
      </c>
      <c r="P31" t="s">
        <v>8</v>
      </c>
      <c r="Q31" t="s">
        <v>9</v>
      </c>
      <c r="S31" t="s">
        <v>41</v>
      </c>
      <c r="T31">
        <v>13</v>
      </c>
      <c r="U31">
        <v>9</v>
      </c>
      <c r="V31">
        <v>26</v>
      </c>
      <c r="X31">
        <v>0.590909091</v>
      </c>
      <c r="Y31">
        <v>0.33333333300000001</v>
      </c>
      <c r="Z31">
        <v>0.42622950799999998</v>
      </c>
    </row>
    <row r="32" spans="1:28" x14ac:dyDescent="0.3">
      <c r="A32" t="s">
        <v>1</v>
      </c>
      <c r="B32" t="s">
        <v>4</v>
      </c>
      <c r="C32">
        <v>5</v>
      </c>
      <c r="D32">
        <v>4</v>
      </c>
      <c r="E32">
        <v>0</v>
      </c>
      <c r="G32" t="s">
        <v>1</v>
      </c>
      <c r="H32" t="s">
        <v>4</v>
      </c>
      <c r="I32">
        <v>3</v>
      </c>
      <c r="J32">
        <v>1</v>
      </c>
      <c r="K32">
        <v>2</v>
      </c>
      <c r="M32" t="s">
        <v>1</v>
      </c>
      <c r="N32" t="s">
        <v>4</v>
      </c>
      <c r="O32">
        <v>5</v>
      </c>
      <c r="P32">
        <v>3</v>
      </c>
      <c r="Q32">
        <v>0</v>
      </c>
      <c r="S32" t="s">
        <v>42</v>
      </c>
      <c r="T32">
        <v>10</v>
      </c>
      <c r="U32">
        <v>8</v>
      </c>
      <c r="V32">
        <v>14</v>
      </c>
      <c r="X32">
        <v>0.55555555599999995</v>
      </c>
      <c r="Y32">
        <v>0.41666666699999999</v>
      </c>
      <c r="Z32">
        <v>0.47619047599999997</v>
      </c>
    </row>
    <row r="33" spans="1:28" x14ac:dyDescent="0.3">
      <c r="B33" t="s">
        <v>5</v>
      </c>
      <c r="C33">
        <v>0</v>
      </c>
      <c r="D33">
        <v>1</v>
      </c>
      <c r="E33">
        <v>2</v>
      </c>
      <c r="H33" t="s">
        <v>5</v>
      </c>
      <c r="I33">
        <v>0</v>
      </c>
      <c r="J33">
        <v>1</v>
      </c>
      <c r="K33">
        <v>2</v>
      </c>
      <c r="N33" t="s">
        <v>5</v>
      </c>
      <c r="O33">
        <v>1</v>
      </c>
      <c r="P33">
        <v>0</v>
      </c>
      <c r="Q33">
        <v>1</v>
      </c>
      <c r="S33" t="s">
        <v>43</v>
      </c>
      <c r="T33">
        <v>10</v>
      </c>
      <c r="U33">
        <v>20</v>
      </c>
      <c r="V33">
        <v>14</v>
      </c>
      <c r="X33">
        <v>0.33333333300000001</v>
      </c>
      <c r="Y33">
        <v>0.41666666699999999</v>
      </c>
      <c r="Z33">
        <v>0.37037037</v>
      </c>
    </row>
    <row r="34" spans="1:28" x14ac:dyDescent="0.3">
      <c r="B34" t="s">
        <v>6</v>
      </c>
      <c r="C34">
        <v>2</v>
      </c>
      <c r="D34">
        <v>0</v>
      </c>
      <c r="E34">
        <v>3</v>
      </c>
      <c r="H34" t="s">
        <v>6</v>
      </c>
      <c r="I34">
        <v>2</v>
      </c>
      <c r="J34">
        <v>0</v>
      </c>
      <c r="K34">
        <v>3</v>
      </c>
      <c r="N34" t="s">
        <v>6</v>
      </c>
      <c r="O34">
        <v>2</v>
      </c>
      <c r="P34">
        <v>1</v>
      </c>
      <c r="Q34">
        <v>3</v>
      </c>
      <c r="S34" t="s">
        <v>44</v>
      </c>
      <c r="T34">
        <v>8</v>
      </c>
      <c r="U34">
        <v>17</v>
      </c>
      <c r="V34">
        <v>16</v>
      </c>
      <c r="X34">
        <v>0.32</v>
      </c>
      <c r="Y34">
        <v>0.33333333300000001</v>
      </c>
      <c r="Z34">
        <v>0.326530612</v>
      </c>
    </row>
    <row r="35" spans="1:28" x14ac:dyDescent="0.3">
      <c r="A35" t="s">
        <v>2</v>
      </c>
      <c r="B35" t="s">
        <v>4</v>
      </c>
      <c r="C35">
        <v>3</v>
      </c>
      <c r="D35">
        <v>5</v>
      </c>
      <c r="E35">
        <v>2</v>
      </c>
      <c r="G35" t="s">
        <v>2</v>
      </c>
      <c r="H35" t="s">
        <v>4</v>
      </c>
      <c r="I35">
        <v>4</v>
      </c>
      <c r="J35">
        <v>1</v>
      </c>
      <c r="K35">
        <v>1</v>
      </c>
      <c r="M35" t="s">
        <v>2</v>
      </c>
      <c r="N35" t="s">
        <v>4</v>
      </c>
      <c r="O35">
        <v>5</v>
      </c>
      <c r="P35">
        <v>10</v>
      </c>
      <c r="Q35">
        <v>0</v>
      </c>
    </row>
    <row r="36" spans="1:28" x14ac:dyDescent="0.3">
      <c r="B36" t="s">
        <v>5</v>
      </c>
      <c r="C36">
        <v>0</v>
      </c>
      <c r="D36">
        <v>2</v>
      </c>
      <c r="E36">
        <v>2</v>
      </c>
      <c r="H36" t="s">
        <v>5</v>
      </c>
      <c r="I36">
        <v>1</v>
      </c>
      <c r="J36">
        <v>0</v>
      </c>
      <c r="K36">
        <v>1</v>
      </c>
      <c r="N36" t="s">
        <v>5</v>
      </c>
      <c r="O36">
        <v>1</v>
      </c>
      <c r="P36">
        <v>2</v>
      </c>
      <c r="Q36">
        <v>1</v>
      </c>
      <c r="S36" t="s">
        <v>45</v>
      </c>
      <c r="T36">
        <v>10</v>
      </c>
      <c r="U36">
        <v>14</v>
      </c>
      <c r="V36">
        <v>17</v>
      </c>
      <c r="X36">
        <v>0.41666666699999999</v>
      </c>
      <c r="Y36">
        <v>0.37037037</v>
      </c>
      <c r="Z36">
        <v>0.39215686300000002</v>
      </c>
      <c r="AB36">
        <v>0.123762318</v>
      </c>
    </row>
    <row r="37" spans="1:28" x14ac:dyDescent="0.3">
      <c r="B37" t="s">
        <v>6</v>
      </c>
      <c r="C37">
        <v>2</v>
      </c>
      <c r="D37">
        <v>0</v>
      </c>
      <c r="E37">
        <v>3</v>
      </c>
      <c r="H37" t="s">
        <v>6</v>
      </c>
      <c r="I37">
        <v>3</v>
      </c>
      <c r="J37">
        <v>1</v>
      </c>
      <c r="K37">
        <v>2</v>
      </c>
      <c r="N37" t="s">
        <v>6</v>
      </c>
      <c r="O37">
        <v>2</v>
      </c>
      <c r="P37">
        <v>0</v>
      </c>
      <c r="Q37">
        <v>3</v>
      </c>
      <c r="S37" t="s">
        <v>46</v>
      </c>
      <c r="T37">
        <v>15</v>
      </c>
      <c r="U37">
        <v>12</v>
      </c>
      <c r="V37">
        <v>12</v>
      </c>
      <c r="X37">
        <v>0.55555555599999995</v>
      </c>
      <c r="Y37">
        <v>0.55555555599999995</v>
      </c>
      <c r="Z37">
        <v>0.55555555599999995</v>
      </c>
      <c r="AB37">
        <v>8.2146140000000006E-2</v>
      </c>
    </row>
    <row r="38" spans="1:28" x14ac:dyDescent="0.3">
      <c r="A38" t="s">
        <v>3</v>
      </c>
      <c r="B38" t="s">
        <v>4</v>
      </c>
      <c r="C38">
        <v>4</v>
      </c>
      <c r="D38">
        <v>0</v>
      </c>
      <c r="E38">
        <v>1</v>
      </c>
      <c r="G38" t="s">
        <v>3</v>
      </c>
      <c r="H38" t="s">
        <v>4</v>
      </c>
      <c r="I38">
        <v>2</v>
      </c>
      <c r="J38">
        <v>1</v>
      </c>
      <c r="K38">
        <v>3</v>
      </c>
      <c r="M38" t="s">
        <v>3</v>
      </c>
      <c r="N38" t="s">
        <v>4</v>
      </c>
      <c r="O38">
        <v>3</v>
      </c>
      <c r="P38">
        <v>2</v>
      </c>
      <c r="Q38">
        <v>2</v>
      </c>
      <c r="S38" t="s">
        <v>47</v>
      </c>
      <c r="T38">
        <v>13</v>
      </c>
      <c r="U38">
        <v>11</v>
      </c>
      <c r="V38">
        <v>14</v>
      </c>
      <c r="X38">
        <v>0.54166666699999999</v>
      </c>
      <c r="Y38">
        <v>0.48148148099999999</v>
      </c>
      <c r="Z38">
        <v>0.50980392200000002</v>
      </c>
      <c r="AB38">
        <v>7.3303822000000005E-2</v>
      </c>
    </row>
    <row r="39" spans="1:28" x14ac:dyDescent="0.3">
      <c r="B39" t="s">
        <v>5</v>
      </c>
      <c r="C39">
        <v>0</v>
      </c>
      <c r="D39">
        <v>1</v>
      </c>
      <c r="E39">
        <v>2</v>
      </c>
      <c r="H39" t="s">
        <v>5</v>
      </c>
      <c r="I39">
        <v>0</v>
      </c>
      <c r="J39">
        <v>1</v>
      </c>
      <c r="K39">
        <v>2</v>
      </c>
      <c r="N39" t="s">
        <v>5</v>
      </c>
      <c r="O39">
        <v>0</v>
      </c>
      <c r="P39">
        <v>3</v>
      </c>
      <c r="Q39">
        <v>2</v>
      </c>
      <c r="S39" t="s">
        <v>48</v>
      </c>
      <c r="T39">
        <v>17</v>
      </c>
      <c r="U39">
        <v>15</v>
      </c>
      <c r="V39">
        <v>24</v>
      </c>
      <c r="X39">
        <v>0.53125</v>
      </c>
      <c r="Y39">
        <v>0.41463414599999998</v>
      </c>
      <c r="Z39">
        <v>0.465753425</v>
      </c>
    </row>
    <row r="40" spans="1:28" x14ac:dyDescent="0.3">
      <c r="B40" t="s">
        <v>6</v>
      </c>
      <c r="C40">
        <v>2</v>
      </c>
      <c r="D40">
        <v>0</v>
      </c>
      <c r="E40">
        <v>3</v>
      </c>
      <c r="H40" t="s">
        <v>6</v>
      </c>
      <c r="I40">
        <v>1</v>
      </c>
      <c r="J40">
        <v>0</v>
      </c>
      <c r="K40">
        <v>4</v>
      </c>
      <c r="N40" t="s">
        <v>6</v>
      </c>
      <c r="O40">
        <v>1</v>
      </c>
      <c r="P40">
        <v>1</v>
      </c>
      <c r="Q40">
        <v>4</v>
      </c>
      <c r="S40" t="s">
        <v>49</v>
      </c>
      <c r="T40">
        <v>14</v>
      </c>
      <c r="U40">
        <v>17</v>
      </c>
      <c r="V40">
        <v>25</v>
      </c>
      <c r="X40">
        <v>0.45161290300000001</v>
      </c>
      <c r="Y40">
        <v>0.35897435900000002</v>
      </c>
      <c r="Z40">
        <v>0.4</v>
      </c>
    </row>
    <row r="41" spans="1:28" x14ac:dyDescent="0.3">
      <c r="S41" t="s">
        <v>50</v>
      </c>
      <c r="T41">
        <v>14</v>
      </c>
      <c r="U41">
        <v>12</v>
      </c>
      <c r="V41">
        <v>25</v>
      </c>
      <c r="X41">
        <v>0.53846153799999996</v>
      </c>
      <c r="Y41">
        <v>0.35897435900000002</v>
      </c>
      <c r="Z41">
        <v>0.43076923099999997</v>
      </c>
    </row>
    <row r="42" spans="1:28" x14ac:dyDescent="0.3">
      <c r="S42" t="s">
        <v>51</v>
      </c>
      <c r="T42">
        <v>20</v>
      </c>
      <c r="U42">
        <v>11</v>
      </c>
      <c r="V42">
        <v>16</v>
      </c>
      <c r="X42">
        <v>0.64516129</v>
      </c>
      <c r="Y42">
        <v>0.55555555599999995</v>
      </c>
      <c r="Z42">
        <v>0.59701492499999997</v>
      </c>
    </row>
    <row r="43" spans="1:28" x14ac:dyDescent="0.3">
      <c r="A43" t="s">
        <v>18</v>
      </c>
      <c r="S43" t="s">
        <v>52</v>
      </c>
      <c r="T43">
        <v>21</v>
      </c>
      <c r="U43">
        <v>21</v>
      </c>
      <c r="V43">
        <v>15</v>
      </c>
      <c r="X43">
        <v>0.5</v>
      </c>
      <c r="Y43">
        <v>0.58333333300000001</v>
      </c>
      <c r="Z43">
        <v>0.53846153799999996</v>
      </c>
    </row>
    <row r="44" spans="1:28" x14ac:dyDescent="0.3">
      <c r="B44" t="s">
        <v>21</v>
      </c>
      <c r="H44" t="s">
        <v>22</v>
      </c>
      <c r="N44" t="s">
        <v>23</v>
      </c>
      <c r="S44" t="s">
        <v>53</v>
      </c>
      <c r="T44">
        <v>13</v>
      </c>
      <c r="U44">
        <v>9</v>
      </c>
      <c r="V44">
        <v>23</v>
      </c>
      <c r="X44">
        <v>0.590909091</v>
      </c>
      <c r="Y44">
        <v>0.36111111099999998</v>
      </c>
      <c r="Z44">
        <v>0.44827586200000002</v>
      </c>
    </row>
    <row r="45" spans="1:28" x14ac:dyDescent="0.3">
      <c r="C45" t="s">
        <v>7</v>
      </c>
      <c r="D45" t="s">
        <v>8</v>
      </c>
      <c r="E45" t="s">
        <v>9</v>
      </c>
      <c r="I45" t="s">
        <v>7</v>
      </c>
      <c r="J45" t="s">
        <v>8</v>
      </c>
      <c r="K45" t="s">
        <v>9</v>
      </c>
      <c r="O45" t="s">
        <v>7</v>
      </c>
      <c r="P45" t="s">
        <v>8</v>
      </c>
      <c r="Q45" t="s">
        <v>9</v>
      </c>
      <c r="S45" t="s">
        <v>54</v>
      </c>
      <c r="T45">
        <v>22</v>
      </c>
      <c r="U45">
        <v>2</v>
      </c>
      <c r="V45">
        <v>20</v>
      </c>
      <c r="X45">
        <v>0.91666666699999999</v>
      </c>
      <c r="Y45">
        <v>0.52380952400000003</v>
      </c>
      <c r="Z45">
        <v>0.66666666699999999</v>
      </c>
    </row>
    <row r="46" spans="1:28" x14ac:dyDescent="0.3">
      <c r="A46" t="s">
        <v>1</v>
      </c>
      <c r="B46" t="s">
        <v>4</v>
      </c>
      <c r="C46">
        <v>4</v>
      </c>
      <c r="D46">
        <v>0</v>
      </c>
      <c r="E46">
        <v>4</v>
      </c>
      <c r="G46" t="s">
        <v>1</v>
      </c>
      <c r="H46" t="s">
        <v>4</v>
      </c>
      <c r="I46">
        <v>3</v>
      </c>
      <c r="J46">
        <v>1</v>
      </c>
      <c r="K46">
        <v>5</v>
      </c>
      <c r="M46" t="s">
        <v>1</v>
      </c>
      <c r="N46" t="s">
        <v>4</v>
      </c>
      <c r="O46">
        <v>4</v>
      </c>
      <c r="P46">
        <v>0</v>
      </c>
      <c r="Q46">
        <v>4</v>
      </c>
      <c r="S46" t="s">
        <v>55</v>
      </c>
      <c r="T46">
        <v>25</v>
      </c>
      <c r="U46">
        <v>14</v>
      </c>
      <c r="V46">
        <v>17</v>
      </c>
      <c r="X46">
        <v>0.64102564100000003</v>
      </c>
      <c r="Y46">
        <v>0.59523809500000002</v>
      </c>
      <c r="Z46">
        <v>0.617283951</v>
      </c>
    </row>
    <row r="47" spans="1:28" x14ac:dyDescent="0.3">
      <c r="B47" t="s">
        <v>5</v>
      </c>
      <c r="C47">
        <v>1</v>
      </c>
      <c r="D47">
        <v>0</v>
      </c>
      <c r="E47">
        <v>1</v>
      </c>
      <c r="H47" t="s">
        <v>5</v>
      </c>
      <c r="I47">
        <v>2</v>
      </c>
      <c r="J47">
        <v>1</v>
      </c>
      <c r="K47">
        <v>0</v>
      </c>
      <c r="N47" t="s">
        <v>5</v>
      </c>
      <c r="O47">
        <v>1</v>
      </c>
      <c r="P47">
        <v>0</v>
      </c>
      <c r="Q47">
        <v>1</v>
      </c>
      <c r="S47" t="s">
        <v>56</v>
      </c>
      <c r="T47">
        <v>18</v>
      </c>
      <c r="U47">
        <v>4</v>
      </c>
      <c r="V47">
        <v>24</v>
      </c>
      <c r="X47">
        <v>0.81818181800000001</v>
      </c>
      <c r="Y47">
        <v>0.428571429</v>
      </c>
      <c r="Z47">
        <v>0.5625</v>
      </c>
    </row>
    <row r="48" spans="1:28" x14ac:dyDescent="0.3">
      <c r="B48" t="s">
        <v>6</v>
      </c>
      <c r="C48">
        <v>2</v>
      </c>
      <c r="D48">
        <v>0</v>
      </c>
      <c r="E48">
        <v>2</v>
      </c>
      <c r="H48" t="s">
        <v>6</v>
      </c>
      <c r="I48">
        <v>3</v>
      </c>
      <c r="J48">
        <v>0</v>
      </c>
      <c r="K48">
        <v>1</v>
      </c>
      <c r="N48" t="s">
        <v>6</v>
      </c>
      <c r="O48">
        <v>2</v>
      </c>
      <c r="P48">
        <v>0</v>
      </c>
      <c r="Q48">
        <v>2</v>
      </c>
      <c r="S48" t="s">
        <v>57</v>
      </c>
      <c r="T48">
        <v>14</v>
      </c>
      <c r="U48">
        <v>15</v>
      </c>
      <c r="V48">
        <v>25</v>
      </c>
      <c r="X48">
        <v>0.482758621</v>
      </c>
      <c r="Y48">
        <v>0.35897435900000002</v>
      </c>
      <c r="Z48">
        <v>0.41176470599999998</v>
      </c>
    </row>
    <row r="49" spans="1:26" x14ac:dyDescent="0.3">
      <c r="A49" t="s">
        <v>2</v>
      </c>
      <c r="B49" t="s">
        <v>4</v>
      </c>
      <c r="C49">
        <v>5</v>
      </c>
      <c r="D49">
        <v>0</v>
      </c>
      <c r="E49">
        <v>3</v>
      </c>
      <c r="G49" t="s">
        <v>2</v>
      </c>
      <c r="H49" t="s">
        <v>4</v>
      </c>
      <c r="I49">
        <v>4</v>
      </c>
      <c r="J49">
        <v>1</v>
      </c>
      <c r="K49">
        <v>4</v>
      </c>
      <c r="M49" t="s">
        <v>2</v>
      </c>
      <c r="N49" t="s">
        <v>4</v>
      </c>
      <c r="O49">
        <v>8</v>
      </c>
      <c r="P49">
        <v>8</v>
      </c>
      <c r="Q49">
        <v>0</v>
      </c>
      <c r="S49" t="s">
        <v>58</v>
      </c>
      <c r="T49">
        <v>14</v>
      </c>
      <c r="U49">
        <v>10</v>
      </c>
      <c r="V49">
        <v>24</v>
      </c>
      <c r="X49">
        <v>0.58333333300000001</v>
      </c>
      <c r="Y49">
        <v>0.368421053</v>
      </c>
      <c r="Z49">
        <v>0.45161290300000001</v>
      </c>
    </row>
    <row r="50" spans="1:26" x14ac:dyDescent="0.3">
      <c r="B50" t="s">
        <v>5</v>
      </c>
      <c r="C50">
        <v>1</v>
      </c>
      <c r="D50">
        <v>4</v>
      </c>
      <c r="E50">
        <v>1</v>
      </c>
      <c r="H50" t="s">
        <v>5</v>
      </c>
      <c r="I50">
        <v>1</v>
      </c>
      <c r="J50">
        <v>0</v>
      </c>
      <c r="K50">
        <v>1</v>
      </c>
      <c r="N50" t="s">
        <v>5</v>
      </c>
      <c r="O50">
        <v>1</v>
      </c>
      <c r="P50">
        <v>1</v>
      </c>
      <c r="Q50">
        <v>1</v>
      </c>
      <c r="S50" t="s">
        <v>59</v>
      </c>
      <c r="T50">
        <v>13</v>
      </c>
      <c r="U50">
        <v>7</v>
      </c>
      <c r="V50">
        <v>26</v>
      </c>
      <c r="X50">
        <v>0.65</v>
      </c>
      <c r="Y50">
        <v>0.33333333300000001</v>
      </c>
      <c r="Z50">
        <v>0.44067796599999998</v>
      </c>
    </row>
    <row r="51" spans="1:26" x14ac:dyDescent="0.3">
      <c r="B51" t="s">
        <v>6</v>
      </c>
      <c r="C51">
        <v>1</v>
      </c>
      <c r="D51">
        <v>0</v>
      </c>
      <c r="E51">
        <v>3</v>
      </c>
      <c r="H51" t="s">
        <v>6</v>
      </c>
      <c r="I51">
        <v>2</v>
      </c>
      <c r="J51">
        <v>0</v>
      </c>
      <c r="K51">
        <v>2</v>
      </c>
      <c r="N51" t="s">
        <v>6</v>
      </c>
      <c r="O51">
        <v>2</v>
      </c>
      <c r="P51">
        <v>0</v>
      </c>
      <c r="Q51">
        <v>2</v>
      </c>
      <c r="S51" t="s">
        <v>60</v>
      </c>
      <c r="T51">
        <v>8</v>
      </c>
      <c r="U51">
        <v>13</v>
      </c>
      <c r="V51">
        <v>16</v>
      </c>
      <c r="X51">
        <v>0.38095238100000001</v>
      </c>
      <c r="Y51">
        <v>0.33333333300000001</v>
      </c>
      <c r="Z51">
        <v>0.35555555599999999</v>
      </c>
    </row>
    <row r="52" spans="1:26" x14ac:dyDescent="0.3">
      <c r="A52" t="s">
        <v>3</v>
      </c>
      <c r="B52" t="s">
        <v>4</v>
      </c>
      <c r="C52">
        <v>4</v>
      </c>
      <c r="D52">
        <v>1</v>
      </c>
      <c r="E52">
        <v>4</v>
      </c>
      <c r="G52" t="s">
        <v>3</v>
      </c>
      <c r="H52" t="s">
        <v>4</v>
      </c>
      <c r="I52">
        <v>3</v>
      </c>
      <c r="J52">
        <v>0</v>
      </c>
      <c r="K52">
        <v>5</v>
      </c>
      <c r="M52" t="s">
        <v>3</v>
      </c>
      <c r="N52" t="s">
        <v>4</v>
      </c>
      <c r="O52">
        <v>3</v>
      </c>
      <c r="P52">
        <v>0</v>
      </c>
      <c r="Q52">
        <v>5</v>
      </c>
      <c r="S52" t="s">
        <v>61</v>
      </c>
      <c r="T52">
        <v>12</v>
      </c>
      <c r="U52">
        <v>18</v>
      </c>
      <c r="V52">
        <v>12</v>
      </c>
      <c r="X52">
        <v>0.4</v>
      </c>
      <c r="Y52">
        <v>0.5</v>
      </c>
      <c r="Z52">
        <v>0.44444444399999999</v>
      </c>
    </row>
    <row r="53" spans="1:26" x14ac:dyDescent="0.3">
      <c r="B53" t="s">
        <v>5</v>
      </c>
      <c r="C53">
        <v>1</v>
      </c>
      <c r="D53">
        <v>1</v>
      </c>
      <c r="E53">
        <v>1</v>
      </c>
      <c r="H53" t="s">
        <v>5</v>
      </c>
      <c r="I53">
        <v>1</v>
      </c>
      <c r="J53">
        <v>0</v>
      </c>
      <c r="K53">
        <v>1</v>
      </c>
      <c r="N53" t="s">
        <v>5</v>
      </c>
      <c r="O53">
        <v>1</v>
      </c>
      <c r="P53">
        <v>2</v>
      </c>
      <c r="Q53">
        <v>1</v>
      </c>
      <c r="S53" t="s">
        <v>62</v>
      </c>
      <c r="T53">
        <v>8</v>
      </c>
      <c r="U53">
        <v>14</v>
      </c>
      <c r="V53">
        <v>16</v>
      </c>
      <c r="X53">
        <v>0.36363636399999999</v>
      </c>
      <c r="Y53">
        <v>0.33333333300000001</v>
      </c>
      <c r="Z53">
        <v>0.34782608700000001</v>
      </c>
    </row>
    <row r="54" spans="1:26" x14ac:dyDescent="0.3">
      <c r="B54" t="s">
        <v>6</v>
      </c>
      <c r="C54">
        <v>1</v>
      </c>
      <c r="D54">
        <v>0</v>
      </c>
      <c r="E54">
        <v>3</v>
      </c>
      <c r="H54" t="s">
        <v>6</v>
      </c>
      <c r="I54">
        <v>2</v>
      </c>
      <c r="J54">
        <v>0</v>
      </c>
      <c r="K54">
        <v>2</v>
      </c>
      <c r="N54" t="s">
        <v>6</v>
      </c>
      <c r="O54">
        <v>2</v>
      </c>
      <c r="P54">
        <v>0</v>
      </c>
      <c r="Q54">
        <v>2</v>
      </c>
    </row>
    <row r="57" spans="1:26" x14ac:dyDescent="0.3">
      <c r="A57" t="s">
        <v>19</v>
      </c>
    </row>
    <row r="58" spans="1:26" x14ac:dyDescent="0.3">
      <c r="B58" t="s">
        <v>21</v>
      </c>
      <c r="H58" t="s">
        <v>22</v>
      </c>
      <c r="N58" t="s">
        <v>23</v>
      </c>
    </row>
    <row r="59" spans="1:26" x14ac:dyDescent="0.3">
      <c r="C59" t="s">
        <v>7</v>
      </c>
      <c r="D59" t="s">
        <v>8</v>
      </c>
      <c r="E59" t="s">
        <v>9</v>
      </c>
      <c r="I59" t="s">
        <v>7</v>
      </c>
      <c r="J59" t="s">
        <v>8</v>
      </c>
      <c r="K59" t="s">
        <v>9</v>
      </c>
      <c r="O59" t="s">
        <v>7</v>
      </c>
      <c r="P59" t="s">
        <v>8</v>
      </c>
      <c r="Q59" t="s">
        <v>9</v>
      </c>
    </row>
    <row r="60" spans="1:26" x14ac:dyDescent="0.3">
      <c r="A60" t="s">
        <v>1</v>
      </c>
      <c r="B60" t="s">
        <v>4</v>
      </c>
      <c r="C60">
        <v>3</v>
      </c>
      <c r="D60">
        <v>2</v>
      </c>
      <c r="E60">
        <v>4</v>
      </c>
      <c r="G60" t="s">
        <v>1</v>
      </c>
      <c r="H60" t="s">
        <v>4</v>
      </c>
      <c r="I60">
        <v>3</v>
      </c>
      <c r="J60">
        <v>1</v>
      </c>
      <c r="K60">
        <v>4</v>
      </c>
      <c r="M60" t="s">
        <v>1</v>
      </c>
      <c r="N60" t="s">
        <v>4</v>
      </c>
      <c r="O60">
        <v>2</v>
      </c>
      <c r="P60">
        <v>1</v>
      </c>
      <c r="Q60">
        <v>5</v>
      </c>
    </row>
    <row r="61" spans="1:26" x14ac:dyDescent="0.3">
      <c r="B61" t="s">
        <v>5</v>
      </c>
      <c r="C61">
        <v>2</v>
      </c>
      <c r="D61">
        <v>1</v>
      </c>
      <c r="E61">
        <v>1</v>
      </c>
      <c r="H61" t="s">
        <v>5</v>
      </c>
      <c r="I61">
        <v>1</v>
      </c>
      <c r="J61">
        <v>2</v>
      </c>
      <c r="K61">
        <v>2</v>
      </c>
      <c r="N61" t="s">
        <v>5</v>
      </c>
      <c r="O61">
        <v>1</v>
      </c>
      <c r="P61">
        <v>4</v>
      </c>
      <c r="Q61">
        <v>2</v>
      </c>
    </row>
    <row r="62" spans="1:26" x14ac:dyDescent="0.3">
      <c r="B62" t="s">
        <v>6</v>
      </c>
      <c r="C62">
        <v>1</v>
      </c>
      <c r="D62">
        <v>0</v>
      </c>
      <c r="E62">
        <v>2</v>
      </c>
      <c r="H62" t="s">
        <v>6</v>
      </c>
      <c r="I62">
        <v>1</v>
      </c>
      <c r="J62">
        <v>1</v>
      </c>
      <c r="K62">
        <v>2</v>
      </c>
      <c r="N62" t="s">
        <v>6</v>
      </c>
      <c r="O62">
        <v>0</v>
      </c>
      <c r="P62">
        <v>3</v>
      </c>
      <c r="Q62">
        <v>3</v>
      </c>
    </row>
    <row r="63" spans="1:26" x14ac:dyDescent="0.3">
      <c r="A63" t="s">
        <v>2</v>
      </c>
      <c r="B63" t="s">
        <v>4</v>
      </c>
      <c r="C63">
        <v>3</v>
      </c>
      <c r="D63">
        <v>5</v>
      </c>
      <c r="E63">
        <v>4</v>
      </c>
      <c r="G63" t="s">
        <v>2</v>
      </c>
      <c r="H63" t="s">
        <v>4</v>
      </c>
      <c r="I63">
        <v>1</v>
      </c>
      <c r="J63">
        <v>1</v>
      </c>
      <c r="K63">
        <v>6</v>
      </c>
      <c r="M63" t="s">
        <v>2</v>
      </c>
      <c r="N63" t="s">
        <v>4</v>
      </c>
      <c r="O63">
        <v>3</v>
      </c>
      <c r="P63">
        <v>0</v>
      </c>
      <c r="Q63">
        <v>4</v>
      </c>
    </row>
    <row r="64" spans="1:26" x14ac:dyDescent="0.3">
      <c r="B64" t="s">
        <v>5</v>
      </c>
      <c r="C64">
        <v>2</v>
      </c>
      <c r="D64">
        <v>2</v>
      </c>
      <c r="E64">
        <v>1</v>
      </c>
      <c r="H64" t="s">
        <v>5</v>
      </c>
      <c r="I64">
        <v>1</v>
      </c>
      <c r="J64">
        <v>2</v>
      </c>
      <c r="K64">
        <v>1</v>
      </c>
      <c r="N64" t="s">
        <v>5</v>
      </c>
      <c r="O64">
        <v>1</v>
      </c>
      <c r="P64">
        <v>0</v>
      </c>
      <c r="Q64">
        <v>2</v>
      </c>
    </row>
    <row r="65" spans="1:17" x14ac:dyDescent="0.3">
      <c r="B65" t="s">
        <v>6</v>
      </c>
      <c r="C65">
        <v>1</v>
      </c>
      <c r="D65">
        <v>0</v>
      </c>
      <c r="E65">
        <v>2</v>
      </c>
      <c r="H65" t="s">
        <v>6</v>
      </c>
      <c r="I65">
        <v>1</v>
      </c>
      <c r="J65">
        <v>0</v>
      </c>
      <c r="K65">
        <v>2</v>
      </c>
      <c r="N65" t="s">
        <v>6</v>
      </c>
      <c r="O65">
        <v>1</v>
      </c>
      <c r="P65">
        <v>0</v>
      </c>
      <c r="Q65">
        <v>2</v>
      </c>
    </row>
    <row r="66" spans="1:17" x14ac:dyDescent="0.3">
      <c r="A66" t="s">
        <v>3</v>
      </c>
      <c r="B66" t="s">
        <v>4</v>
      </c>
      <c r="C66">
        <v>3</v>
      </c>
      <c r="D66">
        <v>4</v>
      </c>
      <c r="E66">
        <v>4</v>
      </c>
      <c r="G66" t="s">
        <v>3</v>
      </c>
      <c r="H66" t="s">
        <v>4</v>
      </c>
      <c r="I66">
        <v>2</v>
      </c>
      <c r="J66">
        <v>0</v>
      </c>
      <c r="K66">
        <v>5</v>
      </c>
      <c r="M66" t="s">
        <v>3</v>
      </c>
      <c r="N66" t="s">
        <v>4</v>
      </c>
      <c r="O66">
        <v>4</v>
      </c>
      <c r="P66">
        <v>1</v>
      </c>
      <c r="Q66">
        <v>3</v>
      </c>
    </row>
    <row r="67" spans="1:17" x14ac:dyDescent="0.3">
      <c r="B67" t="s">
        <v>5</v>
      </c>
      <c r="C67">
        <v>0</v>
      </c>
      <c r="D67">
        <v>1</v>
      </c>
      <c r="E67">
        <v>3</v>
      </c>
      <c r="H67" t="s">
        <v>5</v>
      </c>
      <c r="I67">
        <v>1</v>
      </c>
      <c r="J67">
        <v>0</v>
      </c>
      <c r="K67">
        <v>2</v>
      </c>
      <c r="N67" t="s">
        <v>5</v>
      </c>
      <c r="O67">
        <v>1</v>
      </c>
      <c r="P67">
        <v>0</v>
      </c>
      <c r="Q67">
        <v>2</v>
      </c>
    </row>
    <row r="68" spans="1:17" x14ac:dyDescent="0.3">
      <c r="B68" t="s">
        <v>6</v>
      </c>
      <c r="C68">
        <v>1</v>
      </c>
      <c r="D68">
        <v>0</v>
      </c>
      <c r="E68">
        <v>2</v>
      </c>
      <c r="H68" t="s">
        <v>6</v>
      </c>
      <c r="I68">
        <v>1</v>
      </c>
      <c r="J68">
        <v>1</v>
      </c>
      <c r="K68">
        <v>2</v>
      </c>
      <c r="N68" t="s">
        <v>6</v>
      </c>
      <c r="O68">
        <v>0</v>
      </c>
      <c r="P68">
        <v>0</v>
      </c>
      <c r="Q68">
        <v>3</v>
      </c>
    </row>
    <row r="71" spans="1:17" x14ac:dyDescent="0.3">
      <c r="A71" t="s">
        <v>20</v>
      </c>
    </row>
    <row r="72" spans="1:17" x14ac:dyDescent="0.3">
      <c r="B72" t="s">
        <v>21</v>
      </c>
      <c r="H72" t="s">
        <v>22</v>
      </c>
      <c r="N72" t="s">
        <v>23</v>
      </c>
    </row>
    <row r="73" spans="1:17" x14ac:dyDescent="0.3">
      <c r="C73" t="s">
        <v>7</v>
      </c>
      <c r="D73" t="s">
        <v>8</v>
      </c>
      <c r="E73" t="s">
        <v>9</v>
      </c>
      <c r="I73" t="s">
        <v>7</v>
      </c>
      <c r="J73" t="s">
        <v>8</v>
      </c>
      <c r="K73" t="s">
        <v>9</v>
      </c>
      <c r="O73" t="s">
        <v>7</v>
      </c>
      <c r="P73" t="s">
        <v>8</v>
      </c>
      <c r="Q73" t="s">
        <v>9</v>
      </c>
    </row>
    <row r="74" spans="1:17" x14ac:dyDescent="0.3">
      <c r="A74" t="s">
        <v>1</v>
      </c>
      <c r="B74" t="s">
        <v>4</v>
      </c>
      <c r="C74">
        <v>2</v>
      </c>
      <c r="D74">
        <v>1</v>
      </c>
      <c r="E74">
        <v>4</v>
      </c>
      <c r="G74" t="s">
        <v>1</v>
      </c>
      <c r="H74" t="s">
        <v>4</v>
      </c>
      <c r="I74">
        <v>3</v>
      </c>
      <c r="J74">
        <v>1</v>
      </c>
      <c r="K74">
        <v>3</v>
      </c>
      <c r="M74" t="s">
        <v>1</v>
      </c>
      <c r="N74" t="s">
        <v>4</v>
      </c>
      <c r="O74">
        <v>3</v>
      </c>
      <c r="P74">
        <v>5</v>
      </c>
      <c r="Q74">
        <v>3</v>
      </c>
    </row>
    <row r="75" spans="1:17" x14ac:dyDescent="0.3">
      <c r="B75" t="s">
        <v>5</v>
      </c>
      <c r="C75">
        <v>0</v>
      </c>
      <c r="D75">
        <v>1</v>
      </c>
      <c r="E75">
        <v>2</v>
      </c>
      <c r="H75" t="s">
        <v>5</v>
      </c>
      <c r="I75">
        <v>0</v>
      </c>
      <c r="J75">
        <v>2</v>
      </c>
      <c r="K75">
        <v>2</v>
      </c>
      <c r="N75" t="s">
        <v>5</v>
      </c>
      <c r="O75">
        <v>0</v>
      </c>
      <c r="P75">
        <v>0</v>
      </c>
      <c r="Q75">
        <v>2</v>
      </c>
    </row>
    <row r="76" spans="1:17" x14ac:dyDescent="0.3">
      <c r="B76" t="s">
        <v>6</v>
      </c>
      <c r="C76">
        <v>0</v>
      </c>
      <c r="D76">
        <v>1</v>
      </c>
      <c r="E76">
        <v>0</v>
      </c>
      <c r="H76" t="s">
        <v>6</v>
      </c>
      <c r="I76">
        <v>0</v>
      </c>
      <c r="J76">
        <v>2</v>
      </c>
      <c r="K76">
        <v>0</v>
      </c>
      <c r="N76" t="s">
        <v>6</v>
      </c>
      <c r="O76">
        <v>0</v>
      </c>
      <c r="P76">
        <v>0</v>
      </c>
      <c r="Q76">
        <v>0</v>
      </c>
    </row>
    <row r="77" spans="1:17" x14ac:dyDescent="0.3">
      <c r="A77" t="s">
        <v>2</v>
      </c>
      <c r="B77" t="s">
        <v>4</v>
      </c>
      <c r="C77">
        <v>3</v>
      </c>
      <c r="D77">
        <v>2</v>
      </c>
      <c r="E77">
        <v>3</v>
      </c>
      <c r="G77" t="s">
        <v>2</v>
      </c>
      <c r="H77" t="s">
        <v>4</v>
      </c>
      <c r="I77">
        <v>2</v>
      </c>
      <c r="J77">
        <v>7</v>
      </c>
      <c r="K77">
        <v>4</v>
      </c>
      <c r="M77" t="s">
        <v>2</v>
      </c>
      <c r="N77" t="s">
        <v>4</v>
      </c>
      <c r="O77">
        <v>3</v>
      </c>
      <c r="P77">
        <v>1</v>
      </c>
      <c r="Q77">
        <v>3</v>
      </c>
    </row>
    <row r="78" spans="1:17" x14ac:dyDescent="0.3">
      <c r="B78" t="s">
        <v>5</v>
      </c>
      <c r="C78">
        <v>2</v>
      </c>
      <c r="D78">
        <v>1</v>
      </c>
      <c r="E78">
        <v>0</v>
      </c>
      <c r="H78" t="s">
        <v>5</v>
      </c>
      <c r="I78">
        <v>2</v>
      </c>
      <c r="J78">
        <v>2</v>
      </c>
      <c r="K78">
        <v>0</v>
      </c>
      <c r="N78" t="s">
        <v>5</v>
      </c>
      <c r="O78">
        <v>0</v>
      </c>
      <c r="P78">
        <v>1</v>
      </c>
      <c r="Q78">
        <v>2</v>
      </c>
    </row>
    <row r="79" spans="1:17" x14ac:dyDescent="0.3">
      <c r="B79" t="s">
        <v>6</v>
      </c>
      <c r="C79">
        <v>0</v>
      </c>
      <c r="D79">
        <v>1</v>
      </c>
      <c r="E79">
        <v>0</v>
      </c>
      <c r="H79" t="s">
        <v>6</v>
      </c>
      <c r="I79">
        <v>0</v>
      </c>
      <c r="J79">
        <v>2</v>
      </c>
      <c r="K79">
        <v>0</v>
      </c>
      <c r="N79" t="s">
        <v>6</v>
      </c>
      <c r="O79">
        <v>0</v>
      </c>
      <c r="P79">
        <v>1</v>
      </c>
      <c r="Q79">
        <v>0</v>
      </c>
    </row>
    <row r="80" spans="1:17" x14ac:dyDescent="0.3">
      <c r="A80" t="s">
        <v>3</v>
      </c>
      <c r="B80" t="s">
        <v>4</v>
      </c>
      <c r="C80">
        <v>2</v>
      </c>
      <c r="D80">
        <v>1</v>
      </c>
      <c r="E80">
        <v>4</v>
      </c>
      <c r="G80" t="s">
        <v>3</v>
      </c>
      <c r="H80" t="s">
        <v>4</v>
      </c>
      <c r="I80">
        <v>2</v>
      </c>
      <c r="J80">
        <v>1</v>
      </c>
      <c r="K80">
        <v>4</v>
      </c>
      <c r="M80" t="s">
        <v>3</v>
      </c>
      <c r="N80" t="s">
        <v>4</v>
      </c>
      <c r="O80">
        <v>1</v>
      </c>
      <c r="P80">
        <v>5</v>
      </c>
      <c r="Q80">
        <v>5</v>
      </c>
    </row>
    <row r="81" spans="2:17" x14ac:dyDescent="0.3">
      <c r="B81" t="s">
        <v>5</v>
      </c>
      <c r="C81">
        <v>1</v>
      </c>
      <c r="D81">
        <v>0</v>
      </c>
      <c r="E81">
        <v>1</v>
      </c>
      <c r="H81" t="s">
        <v>5</v>
      </c>
      <c r="I81">
        <v>1</v>
      </c>
      <c r="J81">
        <v>2</v>
      </c>
      <c r="K81">
        <v>1</v>
      </c>
      <c r="N81" t="s">
        <v>5</v>
      </c>
      <c r="O81">
        <v>1</v>
      </c>
      <c r="P81">
        <v>3</v>
      </c>
      <c r="Q81">
        <v>1</v>
      </c>
    </row>
    <row r="82" spans="2:17" x14ac:dyDescent="0.3">
      <c r="B82" t="s">
        <v>6</v>
      </c>
      <c r="C82">
        <v>0</v>
      </c>
      <c r="D82">
        <v>0</v>
      </c>
      <c r="E82">
        <v>0</v>
      </c>
      <c r="H82" t="s">
        <v>6</v>
      </c>
      <c r="I82">
        <v>0</v>
      </c>
      <c r="J82">
        <v>1</v>
      </c>
      <c r="K82">
        <v>0</v>
      </c>
      <c r="N82" t="s">
        <v>6</v>
      </c>
      <c r="O82">
        <v>0</v>
      </c>
      <c r="P82">
        <v>1</v>
      </c>
      <c r="Q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2706-2F19-4FB4-9B12-BE51EF8A1348}">
  <dimension ref="A1:W23"/>
  <sheetViews>
    <sheetView topLeftCell="B1" zoomScale="96" workbookViewId="0">
      <selection activeCell="U11" sqref="U11"/>
    </sheetView>
  </sheetViews>
  <sheetFormatPr defaultRowHeight="14.4" x14ac:dyDescent="0.3"/>
  <cols>
    <col min="1" max="1" width="8.88671875" customWidth="1"/>
  </cols>
  <sheetData>
    <row r="1" spans="1:23" x14ac:dyDescent="0.3">
      <c r="A1" s="1" t="s">
        <v>0</v>
      </c>
      <c r="B1" s="1"/>
      <c r="G1" s="1" t="s">
        <v>12</v>
      </c>
      <c r="H1" s="1"/>
      <c r="M1" s="1" t="s">
        <v>14</v>
      </c>
      <c r="N1" s="1"/>
      <c r="U1" t="s">
        <v>7</v>
      </c>
      <c r="V1" t="s">
        <v>8</v>
      </c>
      <c r="W1" t="s">
        <v>9</v>
      </c>
    </row>
    <row r="2" spans="1:23" x14ac:dyDescent="0.3">
      <c r="C2" t="s">
        <v>7</v>
      </c>
      <c r="D2" t="s">
        <v>8</v>
      </c>
      <c r="E2" t="s">
        <v>9</v>
      </c>
      <c r="I2" t="s">
        <v>7</v>
      </c>
      <c r="J2" t="s">
        <v>8</v>
      </c>
      <c r="K2" t="s">
        <v>9</v>
      </c>
      <c r="O2" t="s">
        <v>7</v>
      </c>
      <c r="P2" t="s">
        <v>8</v>
      </c>
      <c r="Q2" t="s">
        <v>9</v>
      </c>
      <c r="T2" t="s">
        <v>1</v>
      </c>
      <c r="U2">
        <f>SUM(C3,C15,C4,C5,C16,C17,I3,I4,I5,I15:I17,O3:O5)</f>
        <v>18</v>
      </c>
      <c r="V2">
        <f>SUM(D3:D5,D15:D17,J3:J5,J15:J17,P3:P5)</f>
        <v>33</v>
      </c>
      <c r="W2">
        <f>SUM(E3:E5,E15:E17,K3:K5,K15:K17,Q3:Q5)</f>
        <v>43</v>
      </c>
    </row>
    <row r="3" spans="1:23" x14ac:dyDescent="0.3">
      <c r="A3" t="s">
        <v>1</v>
      </c>
      <c r="B3" t="s">
        <v>4</v>
      </c>
      <c r="C3">
        <v>3</v>
      </c>
      <c r="D3">
        <v>1</v>
      </c>
      <c r="E3">
        <v>3</v>
      </c>
      <c r="G3" t="s">
        <v>1</v>
      </c>
      <c r="H3" t="s">
        <v>4</v>
      </c>
      <c r="I3">
        <v>2</v>
      </c>
      <c r="J3">
        <v>1</v>
      </c>
      <c r="K3">
        <v>3</v>
      </c>
      <c r="M3" t="s">
        <v>1</v>
      </c>
      <c r="N3" t="s">
        <v>4</v>
      </c>
      <c r="O3">
        <v>3</v>
      </c>
      <c r="P3">
        <v>0</v>
      </c>
      <c r="Q3">
        <v>7</v>
      </c>
      <c r="T3" t="s">
        <v>2</v>
      </c>
      <c r="U3">
        <f>SUM(C6:C8,I18:I20,O6:O8)</f>
        <v>12</v>
      </c>
      <c r="V3">
        <f>SUM(D6:D8,J18:J20,P6:P8)</f>
        <v>13</v>
      </c>
      <c r="W3">
        <f>SUM(O17,E6:E8,K18:K20,Q6:Q8)</f>
        <v>31</v>
      </c>
    </row>
    <row r="4" spans="1:23" x14ac:dyDescent="0.3">
      <c r="B4" t="s">
        <v>5</v>
      </c>
      <c r="C4">
        <v>0</v>
      </c>
      <c r="D4">
        <v>2</v>
      </c>
      <c r="E4">
        <v>2</v>
      </c>
      <c r="H4" t="s">
        <v>5</v>
      </c>
      <c r="I4">
        <v>1</v>
      </c>
      <c r="J4">
        <v>0</v>
      </c>
      <c r="K4">
        <v>0</v>
      </c>
      <c r="N4" t="s">
        <v>5</v>
      </c>
      <c r="O4">
        <v>0</v>
      </c>
      <c r="P4">
        <v>3</v>
      </c>
      <c r="Q4">
        <v>0</v>
      </c>
      <c r="T4" t="s">
        <v>3</v>
      </c>
      <c r="U4">
        <f>SUM(C9:C11,I21:I23)</f>
        <v>6</v>
      </c>
      <c r="V4">
        <f>SUM(D9:D11,J21:J23)</f>
        <v>7</v>
      </c>
      <c r="W4">
        <f>SUM(E9:E11,K21:K23)</f>
        <v>24</v>
      </c>
    </row>
    <row r="5" spans="1:23" x14ac:dyDescent="0.3">
      <c r="B5" t="s">
        <v>6</v>
      </c>
      <c r="C5">
        <v>0</v>
      </c>
      <c r="D5">
        <v>3</v>
      </c>
      <c r="E5">
        <v>1</v>
      </c>
      <c r="H5" t="s">
        <v>6</v>
      </c>
      <c r="I5">
        <v>1</v>
      </c>
      <c r="J5">
        <v>1</v>
      </c>
      <c r="K5">
        <v>1</v>
      </c>
      <c r="N5" t="s">
        <v>6</v>
      </c>
      <c r="O5">
        <v>1</v>
      </c>
      <c r="P5">
        <v>4</v>
      </c>
      <c r="Q5">
        <v>2</v>
      </c>
    </row>
    <row r="6" spans="1:23" x14ac:dyDescent="0.3">
      <c r="A6" t="s">
        <v>2</v>
      </c>
      <c r="B6" t="s">
        <v>4</v>
      </c>
      <c r="C6">
        <v>2</v>
      </c>
      <c r="D6">
        <v>0</v>
      </c>
      <c r="E6">
        <v>4</v>
      </c>
      <c r="G6" t="s">
        <v>2</v>
      </c>
      <c r="H6" t="s">
        <v>4</v>
      </c>
      <c r="I6" t="s">
        <v>11</v>
      </c>
      <c r="J6" t="s">
        <v>11</v>
      </c>
      <c r="K6" t="s">
        <v>11</v>
      </c>
      <c r="M6" t="s">
        <v>2</v>
      </c>
      <c r="N6" t="s">
        <v>4</v>
      </c>
      <c r="O6">
        <v>5</v>
      </c>
      <c r="P6">
        <v>2</v>
      </c>
      <c r="Q6">
        <v>5</v>
      </c>
      <c r="T6" t="s">
        <v>4</v>
      </c>
      <c r="U6">
        <f t="shared" ref="U6:W8" si="0">SUM(C3,C6,C9,C15,I3,I15,I18,I21,O3,O6)</f>
        <v>29</v>
      </c>
      <c r="V6">
        <f t="shared" si="0"/>
        <v>10</v>
      </c>
      <c r="W6">
        <f t="shared" si="0"/>
        <v>64</v>
      </c>
    </row>
    <row r="7" spans="1:23" x14ac:dyDescent="0.3">
      <c r="B7" t="s">
        <v>5</v>
      </c>
      <c r="C7">
        <v>2</v>
      </c>
      <c r="D7">
        <v>0</v>
      </c>
      <c r="E7">
        <v>0</v>
      </c>
      <c r="H7" t="s">
        <v>5</v>
      </c>
      <c r="I7" t="s">
        <v>11</v>
      </c>
      <c r="J7" t="s">
        <v>11</v>
      </c>
      <c r="K7" t="s">
        <v>11</v>
      </c>
      <c r="N7" t="s">
        <v>5</v>
      </c>
      <c r="O7">
        <v>0</v>
      </c>
      <c r="P7">
        <v>0</v>
      </c>
      <c r="Q7">
        <v>0</v>
      </c>
      <c r="T7" t="s">
        <v>5</v>
      </c>
      <c r="U7">
        <f t="shared" si="0"/>
        <v>3</v>
      </c>
      <c r="V7">
        <f t="shared" si="0"/>
        <v>24</v>
      </c>
      <c r="W7">
        <f t="shared" si="0"/>
        <v>4</v>
      </c>
    </row>
    <row r="8" spans="1:23" x14ac:dyDescent="0.3">
      <c r="B8" t="s">
        <v>6</v>
      </c>
      <c r="C8">
        <v>1</v>
      </c>
      <c r="D8">
        <v>1</v>
      </c>
      <c r="E8">
        <v>0</v>
      </c>
      <c r="H8" t="s">
        <v>6</v>
      </c>
      <c r="I8" t="s">
        <v>11</v>
      </c>
      <c r="J8" t="s">
        <v>11</v>
      </c>
      <c r="K8" t="s">
        <v>11</v>
      </c>
      <c r="N8" t="s">
        <v>6</v>
      </c>
      <c r="O8">
        <v>0</v>
      </c>
      <c r="P8">
        <v>0</v>
      </c>
      <c r="Q8">
        <v>3</v>
      </c>
      <c r="T8" t="s">
        <v>6</v>
      </c>
      <c r="U8">
        <f t="shared" si="0"/>
        <v>4</v>
      </c>
      <c r="V8">
        <f t="shared" si="0"/>
        <v>19</v>
      </c>
      <c r="W8">
        <f t="shared" si="0"/>
        <v>30</v>
      </c>
    </row>
    <row r="9" spans="1:23" x14ac:dyDescent="0.3">
      <c r="A9" t="s">
        <v>3</v>
      </c>
      <c r="B9" t="s">
        <v>4</v>
      </c>
      <c r="C9">
        <v>1</v>
      </c>
      <c r="D9">
        <v>0</v>
      </c>
      <c r="E9">
        <v>5</v>
      </c>
      <c r="G9" t="s">
        <v>3</v>
      </c>
      <c r="H9" t="s">
        <v>4</v>
      </c>
      <c r="I9" t="s">
        <v>11</v>
      </c>
      <c r="J9" t="s">
        <v>11</v>
      </c>
      <c r="K9" t="s">
        <v>11</v>
      </c>
      <c r="M9" t="s">
        <v>3</v>
      </c>
      <c r="N9" t="s">
        <v>4</v>
      </c>
      <c r="O9" t="s">
        <v>11</v>
      </c>
      <c r="P9" t="s">
        <v>11</v>
      </c>
      <c r="Q9" t="s">
        <v>11</v>
      </c>
    </row>
    <row r="10" spans="1:23" x14ac:dyDescent="0.3">
      <c r="B10" t="s">
        <v>5</v>
      </c>
      <c r="C10">
        <v>0</v>
      </c>
      <c r="D10">
        <v>1</v>
      </c>
      <c r="E10">
        <v>2</v>
      </c>
      <c r="H10" t="s">
        <v>5</v>
      </c>
      <c r="I10" t="s">
        <v>11</v>
      </c>
      <c r="J10" t="s">
        <v>11</v>
      </c>
      <c r="K10" t="s">
        <v>11</v>
      </c>
      <c r="N10" t="s">
        <v>5</v>
      </c>
      <c r="O10" t="s">
        <v>11</v>
      </c>
      <c r="P10" t="s">
        <v>11</v>
      </c>
      <c r="Q10" t="s">
        <v>11</v>
      </c>
    </row>
    <row r="11" spans="1:23" x14ac:dyDescent="0.3">
      <c r="B11" t="s">
        <v>6</v>
      </c>
      <c r="C11">
        <v>1</v>
      </c>
      <c r="D11">
        <v>2</v>
      </c>
      <c r="E11">
        <v>0</v>
      </c>
      <c r="H11" t="s">
        <v>6</v>
      </c>
      <c r="I11" t="s">
        <v>11</v>
      </c>
      <c r="J11" t="s">
        <v>11</v>
      </c>
      <c r="K11" t="s">
        <v>11</v>
      </c>
      <c r="N11" t="s">
        <v>6</v>
      </c>
      <c r="O11" t="s">
        <v>11</v>
      </c>
      <c r="P11" t="s">
        <v>11</v>
      </c>
      <c r="Q11" t="s">
        <v>11</v>
      </c>
    </row>
    <row r="13" spans="1:23" x14ac:dyDescent="0.3">
      <c r="A13" s="1" t="s">
        <v>10</v>
      </c>
      <c r="B13" s="1"/>
      <c r="G13" s="1" t="s">
        <v>13</v>
      </c>
      <c r="H13" s="1"/>
    </row>
    <row r="14" spans="1:23" x14ac:dyDescent="0.3">
      <c r="C14" t="s">
        <v>7</v>
      </c>
      <c r="D14" t="s">
        <v>8</v>
      </c>
      <c r="E14" t="s">
        <v>9</v>
      </c>
      <c r="I14" t="s">
        <v>7</v>
      </c>
      <c r="J14" t="s">
        <v>8</v>
      </c>
      <c r="K14" t="s">
        <v>9</v>
      </c>
    </row>
    <row r="15" spans="1:23" x14ac:dyDescent="0.3">
      <c r="A15" t="s">
        <v>1</v>
      </c>
      <c r="B15" t="s">
        <v>4</v>
      </c>
      <c r="C15">
        <v>5</v>
      </c>
      <c r="D15">
        <v>4</v>
      </c>
      <c r="E15">
        <v>3</v>
      </c>
      <c r="G15" t="s">
        <v>1</v>
      </c>
      <c r="H15" t="s">
        <v>4</v>
      </c>
      <c r="I15">
        <v>2</v>
      </c>
      <c r="J15">
        <v>1</v>
      </c>
      <c r="K15">
        <v>12</v>
      </c>
    </row>
    <row r="16" spans="1:23" x14ac:dyDescent="0.3">
      <c r="B16" t="s">
        <v>5</v>
      </c>
      <c r="C16">
        <v>0</v>
      </c>
      <c r="D16">
        <v>4</v>
      </c>
      <c r="E16">
        <v>0</v>
      </c>
      <c r="H16" t="s">
        <v>5</v>
      </c>
      <c r="I16">
        <v>0</v>
      </c>
      <c r="J16">
        <v>5</v>
      </c>
      <c r="K16">
        <v>0</v>
      </c>
    </row>
    <row r="17" spans="1:11" x14ac:dyDescent="0.3">
      <c r="B17" t="s">
        <v>6</v>
      </c>
      <c r="C17">
        <v>0</v>
      </c>
      <c r="D17">
        <v>0</v>
      </c>
      <c r="E17">
        <v>2</v>
      </c>
      <c r="H17" t="s">
        <v>6</v>
      </c>
      <c r="I17">
        <v>0</v>
      </c>
      <c r="J17">
        <v>4</v>
      </c>
      <c r="K17">
        <v>7</v>
      </c>
    </row>
    <row r="18" spans="1:11" x14ac:dyDescent="0.3">
      <c r="A18" t="s">
        <v>2</v>
      </c>
      <c r="B18" t="s">
        <v>4</v>
      </c>
      <c r="C18" t="s">
        <v>11</v>
      </c>
      <c r="D18" t="s">
        <v>11</v>
      </c>
      <c r="E18" t="s">
        <v>11</v>
      </c>
      <c r="G18" t="s">
        <v>2</v>
      </c>
      <c r="H18" t="s">
        <v>4</v>
      </c>
      <c r="I18">
        <v>2</v>
      </c>
      <c r="J18">
        <v>1</v>
      </c>
      <c r="K18">
        <v>12</v>
      </c>
    </row>
    <row r="19" spans="1:11" x14ac:dyDescent="0.3">
      <c r="B19" t="s">
        <v>5</v>
      </c>
      <c r="C19" t="s">
        <v>11</v>
      </c>
      <c r="D19" t="s">
        <v>11</v>
      </c>
      <c r="E19" t="s">
        <v>11</v>
      </c>
      <c r="H19" t="s">
        <v>5</v>
      </c>
      <c r="I19">
        <v>0</v>
      </c>
      <c r="J19">
        <v>5</v>
      </c>
      <c r="K19">
        <v>0</v>
      </c>
    </row>
    <row r="20" spans="1:11" x14ac:dyDescent="0.3">
      <c r="B20" t="s">
        <v>6</v>
      </c>
      <c r="C20" t="s">
        <v>11</v>
      </c>
      <c r="D20" t="s">
        <v>11</v>
      </c>
      <c r="E20" t="s">
        <v>11</v>
      </c>
      <c r="H20" t="s">
        <v>6</v>
      </c>
      <c r="I20">
        <v>0</v>
      </c>
      <c r="J20">
        <v>4</v>
      </c>
      <c r="K20">
        <v>7</v>
      </c>
    </row>
    <row r="21" spans="1:11" x14ac:dyDescent="0.3">
      <c r="A21" t="s">
        <v>3</v>
      </c>
      <c r="B21" t="s">
        <v>4</v>
      </c>
      <c r="C21" t="s">
        <v>11</v>
      </c>
      <c r="D21" t="s">
        <v>11</v>
      </c>
      <c r="E21" t="s">
        <v>11</v>
      </c>
      <c r="G21" t="s">
        <v>3</v>
      </c>
      <c r="H21" t="s">
        <v>4</v>
      </c>
      <c r="I21">
        <v>4</v>
      </c>
      <c r="J21">
        <v>0</v>
      </c>
      <c r="K21">
        <v>10</v>
      </c>
    </row>
    <row r="22" spans="1:11" x14ac:dyDescent="0.3">
      <c r="B22" t="s">
        <v>5</v>
      </c>
      <c r="C22" t="s">
        <v>11</v>
      </c>
      <c r="D22" t="s">
        <v>11</v>
      </c>
      <c r="E22" t="s">
        <v>11</v>
      </c>
      <c r="H22" t="s">
        <v>5</v>
      </c>
      <c r="I22">
        <v>0</v>
      </c>
      <c r="J22">
        <v>4</v>
      </c>
      <c r="K22">
        <v>0</v>
      </c>
    </row>
    <row r="23" spans="1:11" x14ac:dyDescent="0.3">
      <c r="B23" t="s">
        <v>6</v>
      </c>
      <c r="C23" t="s">
        <v>11</v>
      </c>
      <c r="D23" t="s">
        <v>11</v>
      </c>
      <c r="E23" t="s">
        <v>11</v>
      </c>
      <c r="H23" t="s">
        <v>6</v>
      </c>
      <c r="I23">
        <v>0</v>
      </c>
      <c r="J23">
        <v>0</v>
      </c>
      <c r="K23">
        <v>7</v>
      </c>
    </row>
  </sheetData>
  <mergeCells count="5">
    <mergeCell ref="A1:B1"/>
    <mergeCell ref="A13:B13"/>
    <mergeCell ref="G1:H1"/>
    <mergeCell ref="G13:H13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D72B-BC29-49D0-B2ED-DBD50B893DE2}">
  <dimension ref="A1:W23"/>
  <sheetViews>
    <sheetView zoomScale="86" workbookViewId="0">
      <selection activeCell="V30" sqref="V30"/>
    </sheetView>
  </sheetViews>
  <sheetFormatPr defaultRowHeight="14.4" x14ac:dyDescent="0.3"/>
  <cols>
    <col min="1" max="1" width="8.88671875" customWidth="1"/>
  </cols>
  <sheetData>
    <row r="1" spans="1:23" x14ac:dyDescent="0.3">
      <c r="A1" s="1" t="s">
        <v>0</v>
      </c>
      <c r="B1" s="1"/>
      <c r="G1" s="1" t="s">
        <v>12</v>
      </c>
      <c r="H1" s="1"/>
      <c r="M1" s="1" t="s">
        <v>14</v>
      </c>
      <c r="N1" s="1"/>
      <c r="U1" t="s">
        <v>7</v>
      </c>
      <c r="V1" t="s">
        <v>8</v>
      </c>
      <c r="W1" t="s">
        <v>9</v>
      </c>
    </row>
    <row r="2" spans="1:23" x14ac:dyDescent="0.3">
      <c r="C2" t="s">
        <v>7</v>
      </c>
      <c r="D2" t="s">
        <v>8</v>
      </c>
      <c r="E2" t="s">
        <v>9</v>
      </c>
      <c r="I2" t="s">
        <v>7</v>
      </c>
      <c r="J2" t="s">
        <v>8</v>
      </c>
      <c r="K2" t="s">
        <v>9</v>
      </c>
      <c r="O2" t="s">
        <v>7</v>
      </c>
      <c r="P2" t="s">
        <v>8</v>
      </c>
      <c r="Q2" t="s">
        <v>9</v>
      </c>
      <c r="T2" t="s">
        <v>1</v>
      </c>
      <c r="U2">
        <f>SUM(C9,C15,C10,C11,C16,C17,I3,I4,I5,I15:I17,O3:O5)</f>
        <v>18</v>
      </c>
      <c r="V2">
        <f>SUM(D9:D11,D15:D17,J3:J5,J15:J17,P3:P5)</f>
        <v>13</v>
      </c>
      <c r="W2">
        <f>SUM(E9:E11,E15:E17,K3:K5,K15:K17,Q3:Q5)</f>
        <v>44</v>
      </c>
    </row>
    <row r="3" spans="1:23" x14ac:dyDescent="0.3">
      <c r="A3" t="s">
        <v>1</v>
      </c>
      <c r="B3" t="s">
        <v>4</v>
      </c>
      <c r="C3">
        <v>1</v>
      </c>
      <c r="D3">
        <v>0</v>
      </c>
      <c r="E3">
        <v>5</v>
      </c>
      <c r="G3" t="s">
        <v>1</v>
      </c>
      <c r="H3" t="s">
        <v>4</v>
      </c>
      <c r="I3">
        <v>1</v>
      </c>
      <c r="J3">
        <v>1</v>
      </c>
      <c r="K3">
        <v>4</v>
      </c>
      <c r="M3" t="s">
        <v>1</v>
      </c>
      <c r="N3" t="s">
        <v>4</v>
      </c>
      <c r="O3">
        <v>2</v>
      </c>
      <c r="P3">
        <v>0</v>
      </c>
      <c r="Q3">
        <v>8</v>
      </c>
      <c r="T3" t="s">
        <v>2</v>
      </c>
      <c r="U3">
        <f>SUM(C3:C5,I18:I20,O6:O8)</f>
        <v>12</v>
      </c>
      <c r="V3">
        <f>SUM(D3:D5,J18:J20,P6:P8)</f>
        <v>10</v>
      </c>
      <c r="W3">
        <f>SUM(O17,E3:E5,K18:K20,Q6:Q8)</f>
        <v>31</v>
      </c>
    </row>
    <row r="4" spans="1:23" x14ac:dyDescent="0.3">
      <c r="B4" t="s">
        <v>5</v>
      </c>
      <c r="C4">
        <v>1</v>
      </c>
      <c r="D4">
        <v>0</v>
      </c>
      <c r="E4">
        <v>1</v>
      </c>
      <c r="H4" t="s">
        <v>5</v>
      </c>
      <c r="I4">
        <v>1</v>
      </c>
      <c r="J4">
        <v>0</v>
      </c>
      <c r="K4">
        <v>1</v>
      </c>
      <c r="N4" t="s">
        <v>5</v>
      </c>
      <c r="O4">
        <v>0</v>
      </c>
      <c r="P4">
        <v>1</v>
      </c>
      <c r="Q4">
        <v>0</v>
      </c>
      <c r="T4" t="s">
        <v>3</v>
      </c>
      <c r="U4">
        <f>SUM(C6:C8,I21:I23)</f>
        <v>5</v>
      </c>
      <c r="V4">
        <f>SUM(D6:D8,J21:J23)</f>
        <v>7</v>
      </c>
      <c r="W4">
        <f>SUM(E6:E8,K21:K23)</f>
        <v>25</v>
      </c>
    </row>
    <row r="5" spans="1:23" x14ac:dyDescent="0.3">
      <c r="B5" t="s">
        <v>6</v>
      </c>
      <c r="C5">
        <v>1</v>
      </c>
      <c r="D5">
        <v>1</v>
      </c>
      <c r="E5">
        <v>0</v>
      </c>
      <c r="H5" t="s">
        <v>6</v>
      </c>
      <c r="I5">
        <v>1</v>
      </c>
      <c r="J5">
        <v>1</v>
      </c>
      <c r="K5">
        <v>1</v>
      </c>
      <c r="N5" t="s">
        <v>6</v>
      </c>
      <c r="O5">
        <v>2</v>
      </c>
      <c r="P5">
        <v>0</v>
      </c>
      <c r="Q5">
        <v>1</v>
      </c>
    </row>
    <row r="6" spans="1:23" x14ac:dyDescent="0.3">
      <c r="A6" t="s">
        <v>2</v>
      </c>
      <c r="B6" t="s">
        <v>4</v>
      </c>
      <c r="C6">
        <v>1</v>
      </c>
      <c r="D6">
        <v>0</v>
      </c>
      <c r="E6">
        <v>5</v>
      </c>
      <c r="G6" t="s">
        <v>2</v>
      </c>
      <c r="H6" t="s">
        <v>4</v>
      </c>
      <c r="I6">
        <v>1</v>
      </c>
      <c r="J6">
        <v>3</v>
      </c>
      <c r="K6">
        <v>4</v>
      </c>
      <c r="M6" t="s">
        <v>2</v>
      </c>
      <c r="N6" t="s">
        <v>4</v>
      </c>
      <c r="O6">
        <v>3</v>
      </c>
      <c r="P6">
        <v>0</v>
      </c>
      <c r="Q6">
        <v>7</v>
      </c>
      <c r="T6" t="s">
        <v>4</v>
      </c>
      <c r="U6">
        <f t="shared" ref="U6:W8" si="0">SUM(C9,C3,C6,C15,I3,I15,I18,I21,O3,O6)</f>
        <v>19</v>
      </c>
      <c r="V6">
        <f t="shared" si="0"/>
        <v>4</v>
      </c>
      <c r="W6">
        <f t="shared" si="0"/>
        <v>74</v>
      </c>
    </row>
    <row r="7" spans="1:23" x14ac:dyDescent="0.3">
      <c r="B7" t="s">
        <v>5</v>
      </c>
      <c r="C7">
        <v>0</v>
      </c>
      <c r="D7">
        <v>2</v>
      </c>
      <c r="E7">
        <v>2</v>
      </c>
      <c r="H7" t="s">
        <v>5</v>
      </c>
      <c r="I7">
        <v>1</v>
      </c>
      <c r="J7">
        <v>1</v>
      </c>
      <c r="K7">
        <v>0</v>
      </c>
      <c r="N7" t="s">
        <v>5</v>
      </c>
      <c r="O7">
        <v>0</v>
      </c>
      <c r="P7">
        <v>2</v>
      </c>
      <c r="Q7">
        <v>0</v>
      </c>
      <c r="T7" t="s">
        <v>5</v>
      </c>
      <c r="U7">
        <f t="shared" si="0"/>
        <v>3</v>
      </c>
      <c r="V7">
        <f t="shared" si="0"/>
        <v>15</v>
      </c>
      <c r="W7">
        <f t="shared" si="0"/>
        <v>5</v>
      </c>
    </row>
    <row r="8" spans="1:23" x14ac:dyDescent="0.3">
      <c r="B8" t="s">
        <v>6</v>
      </c>
      <c r="C8">
        <v>1</v>
      </c>
      <c r="D8">
        <v>2</v>
      </c>
      <c r="E8">
        <v>0</v>
      </c>
      <c r="H8" t="s">
        <v>6</v>
      </c>
      <c r="I8">
        <v>1</v>
      </c>
      <c r="J8">
        <v>1</v>
      </c>
      <c r="K8">
        <v>1</v>
      </c>
      <c r="N8" t="s">
        <v>6</v>
      </c>
      <c r="O8">
        <v>2</v>
      </c>
      <c r="P8">
        <v>0</v>
      </c>
      <c r="Q8">
        <v>1</v>
      </c>
      <c r="T8" t="s">
        <v>6</v>
      </c>
      <c r="U8">
        <f t="shared" si="0"/>
        <v>13</v>
      </c>
      <c r="V8">
        <f t="shared" si="0"/>
        <v>11</v>
      </c>
      <c r="W8">
        <f t="shared" si="0"/>
        <v>21</v>
      </c>
    </row>
    <row r="9" spans="1:23" x14ac:dyDescent="0.3">
      <c r="A9" t="s">
        <v>3</v>
      </c>
      <c r="B9" t="s">
        <v>4</v>
      </c>
      <c r="C9">
        <v>2</v>
      </c>
      <c r="D9">
        <v>0</v>
      </c>
      <c r="E9">
        <v>4</v>
      </c>
      <c r="G9" t="s">
        <v>3</v>
      </c>
      <c r="H9" t="s">
        <v>4</v>
      </c>
      <c r="I9">
        <v>2</v>
      </c>
      <c r="J9">
        <v>2</v>
      </c>
      <c r="K9">
        <v>3</v>
      </c>
      <c r="M9" t="s">
        <v>3</v>
      </c>
      <c r="N9" t="s">
        <v>4</v>
      </c>
      <c r="O9">
        <v>0</v>
      </c>
      <c r="P9">
        <v>0</v>
      </c>
      <c r="Q9">
        <v>7</v>
      </c>
    </row>
    <row r="10" spans="1:23" x14ac:dyDescent="0.3">
      <c r="B10" t="s">
        <v>5</v>
      </c>
      <c r="C10">
        <v>1</v>
      </c>
      <c r="D10">
        <v>0</v>
      </c>
      <c r="E10">
        <v>1</v>
      </c>
      <c r="H10" t="s">
        <v>5</v>
      </c>
      <c r="I10">
        <v>0</v>
      </c>
      <c r="J10">
        <v>2</v>
      </c>
      <c r="K10">
        <v>1</v>
      </c>
      <c r="N10" t="s">
        <v>5</v>
      </c>
      <c r="O10">
        <v>0</v>
      </c>
      <c r="P10">
        <v>1</v>
      </c>
      <c r="Q10">
        <v>0</v>
      </c>
    </row>
    <row r="11" spans="1:23" x14ac:dyDescent="0.3">
      <c r="B11" t="s">
        <v>6</v>
      </c>
      <c r="C11">
        <v>1</v>
      </c>
      <c r="D11">
        <v>1</v>
      </c>
      <c r="E11">
        <v>0</v>
      </c>
      <c r="H11" t="s">
        <v>6</v>
      </c>
      <c r="I11">
        <v>0</v>
      </c>
      <c r="J11">
        <v>8</v>
      </c>
      <c r="K11">
        <v>2</v>
      </c>
      <c r="N11" t="s">
        <v>6</v>
      </c>
      <c r="O11">
        <v>0</v>
      </c>
      <c r="P11">
        <v>3</v>
      </c>
      <c r="Q11">
        <v>3</v>
      </c>
    </row>
    <row r="13" spans="1:23" x14ac:dyDescent="0.3">
      <c r="A13" s="1" t="s">
        <v>10</v>
      </c>
      <c r="B13" s="1"/>
      <c r="G13" s="1" t="s">
        <v>13</v>
      </c>
      <c r="H13" s="1"/>
    </row>
    <row r="14" spans="1:23" x14ac:dyDescent="0.3">
      <c r="C14" t="s">
        <v>7</v>
      </c>
      <c r="D14" t="s">
        <v>8</v>
      </c>
      <c r="E14" t="s">
        <v>9</v>
      </c>
      <c r="I14" t="s">
        <v>7</v>
      </c>
      <c r="J14" t="s">
        <v>8</v>
      </c>
      <c r="K14" t="s">
        <v>9</v>
      </c>
    </row>
    <row r="15" spans="1:23" x14ac:dyDescent="0.3">
      <c r="A15" t="s">
        <v>1</v>
      </c>
      <c r="B15" t="s">
        <v>4</v>
      </c>
      <c r="C15">
        <v>2</v>
      </c>
      <c r="D15">
        <v>1</v>
      </c>
      <c r="E15">
        <v>6</v>
      </c>
      <c r="G15" t="s">
        <v>1</v>
      </c>
      <c r="H15" t="s">
        <v>4</v>
      </c>
      <c r="I15">
        <v>2</v>
      </c>
      <c r="J15">
        <v>0</v>
      </c>
      <c r="K15">
        <v>12</v>
      </c>
    </row>
    <row r="16" spans="1:23" x14ac:dyDescent="0.3">
      <c r="B16" t="s">
        <v>5</v>
      </c>
      <c r="C16">
        <v>0</v>
      </c>
      <c r="D16">
        <v>1</v>
      </c>
      <c r="E16">
        <v>0</v>
      </c>
      <c r="H16" t="s">
        <v>5</v>
      </c>
      <c r="I16">
        <v>0</v>
      </c>
      <c r="J16">
        <v>3</v>
      </c>
      <c r="K16">
        <v>0</v>
      </c>
    </row>
    <row r="17" spans="1:11" x14ac:dyDescent="0.3">
      <c r="B17" t="s">
        <v>6</v>
      </c>
      <c r="C17">
        <v>0</v>
      </c>
      <c r="D17">
        <v>3</v>
      </c>
      <c r="E17">
        <v>2</v>
      </c>
      <c r="H17" t="s">
        <v>6</v>
      </c>
      <c r="I17">
        <v>3</v>
      </c>
      <c r="J17">
        <v>1</v>
      </c>
      <c r="K17">
        <v>4</v>
      </c>
    </row>
    <row r="18" spans="1:11" x14ac:dyDescent="0.3">
      <c r="A18" t="s">
        <v>2</v>
      </c>
      <c r="B18" t="s">
        <v>4</v>
      </c>
      <c r="C18">
        <v>1</v>
      </c>
      <c r="D18">
        <v>0</v>
      </c>
      <c r="E18">
        <v>7</v>
      </c>
      <c r="G18" t="s">
        <v>2</v>
      </c>
      <c r="H18" t="s">
        <v>4</v>
      </c>
      <c r="I18">
        <v>3</v>
      </c>
      <c r="J18">
        <v>2</v>
      </c>
      <c r="K18">
        <v>11</v>
      </c>
    </row>
    <row r="19" spans="1:11" x14ac:dyDescent="0.3">
      <c r="B19" t="s">
        <v>5</v>
      </c>
      <c r="C19">
        <v>0</v>
      </c>
      <c r="D19">
        <v>2</v>
      </c>
      <c r="E19">
        <v>0</v>
      </c>
      <c r="H19" t="s">
        <v>5</v>
      </c>
      <c r="I19">
        <v>0</v>
      </c>
      <c r="J19">
        <v>4</v>
      </c>
      <c r="K19">
        <v>0</v>
      </c>
    </row>
    <row r="20" spans="1:11" x14ac:dyDescent="0.3">
      <c r="B20" t="s">
        <v>6</v>
      </c>
      <c r="C20">
        <v>0</v>
      </c>
      <c r="D20">
        <v>4</v>
      </c>
      <c r="E20">
        <v>2</v>
      </c>
      <c r="H20" t="s">
        <v>6</v>
      </c>
      <c r="I20">
        <v>1</v>
      </c>
      <c r="J20">
        <v>1</v>
      </c>
      <c r="K20">
        <v>6</v>
      </c>
    </row>
    <row r="21" spans="1:11" x14ac:dyDescent="0.3">
      <c r="A21" t="s">
        <v>3</v>
      </c>
      <c r="B21" t="s">
        <v>4</v>
      </c>
      <c r="C21">
        <v>2</v>
      </c>
      <c r="D21">
        <v>0</v>
      </c>
      <c r="E21">
        <v>6</v>
      </c>
      <c r="G21" t="s">
        <v>3</v>
      </c>
      <c r="H21" t="s">
        <v>4</v>
      </c>
      <c r="I21">
        <v>2</v>
      </c>
      <c r="J21">
        <v>0</v>
      </c>
      <c r="K21">
        <v>12</v>
      </c>
    </row>
    <row r="22" spans="1:11" x14ac:dyDescent="0.3">
      <c r="B22" t="s">
        <v>5</v>
      </c>
      <c r="C22">
        <v>0</v>
      </c>
      <c r="D22">
        <v>0</v>
      </c>
      <c r="E22">
        <v>0</v>
      </c>
      <c r="H22" t="s">
        <v>5</v>
      </c>
      <c r="I22">
        <v>0</v>
      </c>
      <c r="J22">
        <v>2</v>
      </c>
      <c r="K22">
        <v>0</v>
      </c>
    </row>
    <row r="23" spans="1:11" x14ac:dyDescent="0.3">
      <c r="B23" t="s">
        <v>6</v>
      </c>
      <c r="C23">
        <v>2</v>
      </c>
      <c r="D23">
        <v>3</v>
      </c>
      <c r="E23">
        <v>0</v>
      </c>
      <c r="H23" t="s">
        <v>6</v>
      </c>
      <c r="I23">
        <v>1</v>
      </c>
      <c r="J23">
        <v>1</v>
      </c>
      <c r="K23">
        <v>6</v>
      </c>
    </row>
  </sheetData>
  <mergeCells count="5">
    <mergeCell ref="A1:B1"/>
    <mergeCell ref="G1:H1"/>
    <mergeCell ref="M1:N1"/>
    <mergeCell ref="A13:B13"/>
    <mergeCell ref="G13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14CB-2DFC-4D74-8B80-4077E923546C}">
  <dimension ref="A1:W23"/>
  <sheetViews>
    <sheetView zoomScale="81" workbookViewId="0">
      <selection activeCell="I29" sqref="I29"/>
    </sheetView>
  </sheetViews>
  <sheetFormatPr defaultRowHeight="14.4" x14ac:dyDescent="0.3"/>
  <cols>
    <col min="1" max="1" width="8.88671875" customWidth="1"/>
  </cols>
  <sheetData>
    <row r="1" spans="1:23" x14ac:dyDescent="0.3">
      <c r="A1" s="1" t="s">
        <v>0</v>
      </c>
      <c r="B1" s="1"/>
      <c r="G1" s="1" t="s">
        <v>12</v>
      </c>
      <c r="H1" s="1"/>
      <c r="M1" s="1" t="s">
        <v>14</v>
      </c>
      <c r="N1" s="1"/>
      <c r="U1" t="s">
        <v>7</v>
      </c>
      <c r="V1" t="s">
        <v>8</v>
      </c>
      <c r="W1" t="s">
        <v>9</v>
      </c>
    </row>
    <row r="2" spans="1:23" x14ac:dyDescent="0.3">
      <c r="C2" t="s">
        <v>7</v>
      </c>
      <c r="D2" t="s">
        <v>8</v>
      </c>
      <c r="E2" t="s">
        <v>9</v>
      </c>
      <c r="I2" t="s">
        <v>7</v>
      </c>
      <c r="J2" t="s">
        <v>8</v>
      </c>
      <c r="K2" t="s">
        <v>9</v>
      </c>
      <c r="O2" t="s">
        <v>7</v>
      </c>
      <c r="P2" t="s">
        <v>8</v>
      </c>
      <c r="Q2" t="s">
        <v>9</v>
      </c>
      <c r="T2" t="s">
        <v>1</v>
      </c>
      <c r="U2">
        <f>SUM(C9,C15,C10,C11,C16,C17,I3,I4,I5,I15:I17,O3:O5)</f>
        <v>20</v>
      </c>
      <c r="V2">
        <f>SUM(D9:D11,D15:D17,J3:J5,J15:J17,P3:P5)</f>
        <v>17</v>
      </c>
      <c r="W2">
        <f>SUM(E9:E11,E15:E17,K3:K5,K15:K17,Q3:Q5)</f>
        <v>43</v>
      </c>
    </row>
    <row r="3" spans="1:23" x14ac:dyDescent="0.3">
      <c r="A3" t="s">
        <v>1</v>
      </c>
      <c r="B3" t="s">
        <v>4</v>
      </c>
      <c r="C3">
        <v>2</v>
      </c>
      <c r="D3">
        <v>0</v>
      </c>
      <c r="E3">
        <v>4</v>
      </c>
      <c r="G3" t="s">
        <v>1</v>
      </c>
      <c r="H3" t="s">
        <v>4</v>
      </c>
      <c r="I3">
        <v>2</v>
      </c>
      <c r="J3">
        <v>0</v>
      </c>
      <c r="K3">
        <v>3</v>
      </c>
      <c r="M3" t="s">
        <v>1</v>
      </c>
      <c r="N3" t="s">
        <v>4</v>
      </c>
      <c r="O3">
        <v>4</v>
      </c>
      <c r="P3">
        <v>1</v>
      </c>
      <c r="Q3">
        <v>6</v>
      </c>
      <c r="T3" t="s">
        <v>2</v>
      </c>
      <c r="U3">
        <f>SUM(C3:C5,I18:I20,O6:O8)</f>
        <v>14</v>
      </c>
      <c r="V3">
        <f>SUM(D3:D5,J18:J20,P6:P8)</f>
        <v>10</v>
      </c>
      <c r="W3">
        <f>SUM(O17,E3:E5,K18:K20,Q6:Q8)</f>
        <v>28</v>
      </c>
    </row>
    <row r="4" spans="1:23" x14ac:dyDescent="0.3">
      <c r="B4" t="s">
        <v>5</v>
      </c>
      <c r="C4">
        <v>1</v>
      </c>
      <c r="D4">
        <v>0</v>
      </c>
      <c r="E4">
        <v>1</v>
      </c>
      <c r="H4" t="s">
        <v>5</v>
      </c>
      <c r="I4">
        <v>0</v>
      </c>
      <c r="J4">
        <v>2</v>
      </c>
      <c r="K4">
        <v>2</v>
      </c>
      <c r="N4" t="s">
        <v>5</v>
      </c>
      <c r="O4">
        <v>0</v>
      </c>
      <c r="P4">
        <v>0</v>
      </c>
      <c r="Q4">
        <v>0</v>
      </c>
      <c r="T4" t="s">
        <v>3</v>
      </c>
      <c r="U4">
        <f>SUM(C6:C8,I21:I23)</f>
        <v>7</v>
      </c>
      <c r="V4">
        <f>SUM(D6:D8,J21:J23)</f>
        <v>4</v>
      </c>
      <c r="W4">
        <f>SUM(E6:E8,K21:K23)</f>
        <v>23</v>
      </c>
    </row>
    <row r="5" spans="1:23" x14ac:dyDescent="0.3">
      <c r="B5" t="s">
        <v>6</v>
      </c>
      <c r="C5">
        <v>1</v>
      </c>
      <c r="D5">
        <v>3</v>
      </c>
      <c r="E5">
        <v>0</v>
      </c>
      <c r="H5" t="s">
        <v>6</v>
      </c>
      <c r="I5">
        <v>1</v>
      </c>
      <c r="J5">
        <v>1</v>
      </c>
      <c r="K5">
        <v>1</v>
      </c>
      <c r="N5" t="s">
        <v>6</v>
      </c>
      <c r="O5">
        <v>1</v>
      </c>
      <c r="P5">
        <v>0</v>
      </c>
      <c r="Q5">
        <v>1</v>
      </c>
    </row>
    <row r="6" spans="1:23" x14ac:dyDescent="0.3">
      <c r="A6" t="s">
        <v>2</v>
      </c>
      <c r="B6" t="s">
        <v>4</v>
      </c>
      <c r="C6">
        <v>1</v>
      </c>
      <c r="D6">
        <v>0</v>
      </c>
      <c r="E6">
        <v>5</v>
      </c>
      <c r="G6" t="s">
        <v>2</v>
      </c>
      <c r="H6" t="s">
        <v>4</v>
      </c>
      <c r="I6">
        <v>3</v>
      </c>
      <c r="J6">
        <v>0</v>
      </c>
      <c r="K6">
        <v>2</v>
      </c>
      <c r="M6" t="s">
        <v>2</v>
      </c>
      <c r="N6" t="s">
        <v>4</v>
      </c>
      <c r="O6">
        <v>3</v>
      </c>
      <c r="P6">
        <v>2</v>
      </c>
      <c r="Q6">
        <v>7</v>
      </c>
      <c r="T6" t="s">
        <v>4</v>
      </c>
      <c r="U6">
        <f t="shared" ref="U6:W8" si="0">SUM(C9,C3,C6,C15,I3,I15,I18,I21,O3,O6)</f>
        <v>29</v>
      </c>
      <c r="V6">
        <f t="shared" si="0"/>
        <v>3</v>
      </c>
      <c r="W6">
        <f t="shared" si="0"/>
        <v>65</v>
      </c>
    </row>
    <row r="7" spans="1:23" x14ac:dyDescent="0.3">
      <c r="B7" t="s">
        <v>5</v>
      </c>
      <c r="C7">
        <v>1</v>
      </c>
      <c r="D7">
        <v>1</v>
      </c>
      <c r="E7">
        <v>1</v>
      </c>
      <c r="H7" t="s">
        <v>5</v>
      </c>
      <c r="I7">
        <v>2</v>
      </c>
      <c r="J7">
        <v>0</v>
      </c>
      <c r="K7">
        <v>0</v>
      </c>
      <c r="N7" t="s">
        <v>5</v>
      </c>
      <c r="O7">
        <v>0</v>
      </c>
      <c r="P7">
        <v>2</v>
      </c>
      <c r="Q7">
        <v>0</v>
      </c>
      <c r="T7" t="s">
        <v>5</v>
      </c>
      <c r="U7">
        <f t="shared" si="0"/>
        <v>2</v>
      </c>
      <c r="V7">
        <f t="shared" si="0"/>
        <v>14</v>
      </c>
      <c r="W7">
        <f t="shared" si="0"/>
        <v>6</v>
      </c>
    </row>
    <row r="8" spans="1:23" x14ac:dyDescent="0.3">
      <c r="B8" t="s">
        <v>6</v>
      </c>
      <c r="C8">
        <v>1</v>
      </c>
      <c r="D8">
        <v>2</v>
      </c>
      <c r="E8">
        <v>0</v>
      </c>
      <c r="H8" t="s">
        <v>6</v>
      </c>
      <c r="I8">
        <v>1</v>
      </c>
      <c r="J8">
        <v>1</v>
      </c>
      <c r="K8">
        <v>1</v>
      </c>
      <c r="N8" t="s">
        <v>6</v>
      </c>
      <c r="O8">
        <v>2</v>
      </c>
      <c r="P8">
        <v>1</v>
      </c>
      <c r="Q8">
        <v>0</v>
      </c>
      <c r="T8" t="s">
        <v>6</v>
      </c>
      <c r="U8">
        <f t="shared" si="0"/>
        <v>10</v>
      </c>
      <c r="V8">
        <f t="shared" si="0"/>
        <v>14</v>
      </c>
      <c r="W8">
        <f t="shared" si="0"/>
        <v>23</v>
      </c>
    </row>
    <row r="9" spans="1:23" x14ac:dyDescent="0.3">
      <c r="A9" t="s">
        <v>3</v>
      </c>
      <c r="B9" t="s">
        <v>4</v>
      </c>
      <c r="C9">
        <v>3</v>
      </c>
      <c r="D9">
        <v>0</v>
      </c>
      <c r="E9">
        <v>3</v>
      </c>
      <c r="G9" t="s">
        <v>3</v>
      </c>
      <c r="H9" t="s">
        <v>4</v>
      </c>
      <c r="I9">
        <v>1</v>
      </c>
      <c r="J9">
        <v>0</v>
      </c>
      <c r="K9">
        <v>4</v>
      </c>
      <c r="M9" t="s">
        <v>3</v>
      </c>
      <c r="N9" t="s">
        <v>4</v>
      </c>
      <c r="O9">
        <v>2</v>
      </c>
      <c r="P9">
        <v>0</v>
      </c>
      <c r="Q9">
        <v>8</v>
      </c>
    </row>
    <row r="10" spans="1:23" x14ac:dyDescent="0.3">
      <c r="B10" t="s">
        <v>5</v>
      </c>
      <c r="C10">
        <v>0</v>
      </c>
      <c r="D10">
        <v>0</v>
      </c>
      <c r="E10">
        <v>2</v>
      </c>
      <c r="H10" t="s">
        <v>5</v>
      </c>
      <c r="I10">
        <v>0</v>
      </c>
      <c r="J10">
        <v>1</v>
      </c>
      <c r="K10">
        <v>2</v>
      </c>
      <c r="N10" t="s">
        <v>5</v>
      </c>
      <c r="O10">
        <v>0</v>
      </c>
      <c r="P10">
        <v>0</v>
      </c>
      <c r="Q10">
        <v>0</v>
      </c>
    </row>
    <row r="11" spans="1:23" x14ac:dyDescent="0.3">
      <c r="B11" t="s">
        <v>6</v>
      </c>
      <c r="C11">
        <v>1</v>
      </c>
      <c r="D11">
        <v>1</v>
      </c>
      <c r="E11">
        <v>0</v>
      </c>
      <c r="H11" t="s">
        <v>6</v>
      </c>
      <c r="I11">
        <v>1</v>
      </c>
      <c r="J11">
        <v>1</v>
      </c>
      <c r="K11">
        <v>1</v>
      </c>
      <c r="N11" t="s">
        <v>6</v>
      </c>
      <c r="O11">
        <v>1</v>
      </c>
      <c r="P11">
        <v>0</v>
      </c>
      <c r="Q11">
        <v>1</v>
      </c>
    </row>
    <row r="13" spans="1:23" x14ac:dyDescent="0.3">
      <c r="A13" s="1" t="s">
        <v>10</v>
      </c>
      <c r="B13" s="1"/>
      <c r="G13" s="1" t="s">
        <v>13</v>
      </c>
      <c r="H13" s="1"/>
    </row>
    <row r="14" spans="1:23" x14ac:dyDescent="0.3">
      <c r="C14" t="s">
        <v>7</v>
      </c>
      <c r="D14" t="s">
        <v>8</v>
      </c>
      <c r="E14" t="s">
        <v>9</v>
      </c>
      <c r="I14" t="s">
        <v>7</v>
      </c>
      <c r="J14" t="s">
        <v>8</v>
      </c>
      <c r="K14" t="s">
        <v>9</v>
      </c>
    </row>
    <row r="15" spans="1:23" x14ac:dyDescent="0.3">
      <c r="A15" t="s">
        <v>1</v>
      </c>
      <c r="B15" t="s">
        <v>4</v>
      </c>
      <c r="C15">
        <v>4</v>
      </c>
      <c r="D15">
        <v>0</v>
      </c>
      <c r="E15">
        <v>5</v>
      </c>
      <c r="G15" t="s">
        <v>1</v>
      </c>
      <c r="H15" t="s">
        <v>4</v>
      </c>
      <c r="I15">
        <v>3</v>
      </c>
      <c r="J15">
        <v>0</v>
      </c>
      <c r="K15">
        <v>11</v>
      </c>
    </row>
    <row r="16" spans="1:23" x14ac:dyDescent="0.3">
      <c r="B16" t="s">
        <v>5</v>
      </c>
      <c r="C16">
        <v>0</v>
      </c>
      <c r="D16">
        <v>2</v>
      </c>
      <c r="E16">
        <v>0</v>
      </c>
      <c r="H16" t="s">
        <v>5</v>
      </c>
      <c r="I16">
        <v>0</v>
      </c>
      <c r="J16">
        <v>4</v>
      </c>
      <c r="K16">
        <v>0</v>
      </c>
    </row>
    <row r="17" spans="1:11" x14ac:dyDescent="0.3">
      <c r="B17" t="s">
        <v>6</v>
      </c>
      <c r="C17">
        <v>1</v>
      </c>
      <c r="D17">
        <v>3</v>
      </c>
      <c r="E17">
        <v>2</v>
      </c>
      <c r="H17" t="s">
        <v>6</v>
      </c>
      <c r="I17">
        <v>0</v>
      </c>
      <c r="J17">
        <v>3</v>
      </c>
      <c r="K17">
        <v>7</v>
      </c>
    </row>
    <row r="18" spans="1:11" x14ac:dyDescent="0.3">
      <c r="A18" t="s">
        <v>2</v>
      </c>
      <c r="B18" t="s">
        <v>4</v>
      </c>
      <c r="C18">
        <v>2</v>
      </c>
      <c r="D18">
        <v>0</v>
      </c>
      <c r="E18">
        <v>7</v>
      </c>
      <c r="G18" t="s">
        <v>2</v>
      </c>
      <c r="H18" t="s">
        <v>4</v>
      </c>
      <c r="I18">
        <v>4</v>
      </c>
      <c r="J18">
        <v>0</v>
      </c>
      <c r="K18">
        <v>10</v>
      </c>
    </row>
    <row r="19" spans="1:11" x14ac:dyDescent="0.3">
      <c r="B19" t="s">
        <v>5</v>
      </c>
      <c r="C19">
        <v>0</v>
      </c>
      <c r="D19">
        <v>2</v>
      </c>
      <c r="E19">
        <v>0</v>
      </c>
      <c r="H19" t="s">
        <v>5</v>
      </c>
      <c r="I19">
        <v>0</v>
      </c>
      <c r="J19">
        <v>2</v>
      </c>
      <c r="K19">
        <v>0</v>
      </c>
    </row>
    <row r="20" spans="1:11" x14ac:dyDescent="0.3">
      <c r="B20" t="s">
        <v>6</v>
      </c>
      <c r="C20">
        <v>2</v>
      </c>
      <c r="D20">
        <v>0</v>
      </c>
      <c r="E20">
        <v>1</v>
      </c>
      <c r="H20" t="s">
        <v>6</v>
      </c>
      <c r="I20">
        <v>1</v>
      </c>
      <c r="J20">
        <v>0</v>
      </c>
      <c r="K20">
        <v>6</v>
      </c>
    </row>
    <row r="21" spans="1:11" x14ac:dyDescent="0.3">
      <c r="A21" t="s">
        <v>3</v>
      </c>
      <c r="B21" t="s">
        <v>4</v>
      </c>
      <c r="C21">
        <v>1</v>
      </c>
      <c r="D21">
        <v>1</v>
      </c>
      <c r="E21">
        <v>8</v>
      </c>
      <c r="G21" t="s">
        <v>3</v>
      </c>
      <c r="H21" t="s">
        <v>4</v>
      </c>
      <c r="I21">
        <v>3</v>
      </c>
      <c r="J21">
        <v>0</v>
      </c>
      <c r="K21">
        <v>11</v>
      </c>
    </row>
    <row r="22" spans="1:11" x14ac:dyDescent="0.3">
      <c r="B22" t="s">
        <v>5</v>
      </c>
      <c r="C22">
        <v>0</v>
      </c>
      <c r="D22">
        <v>0</v>
      </c>
      <c r="E22">
        <v>0</v>
      </c>
      <c r="H22" t="s">
        <v>5</v>
      </c>
      <c r="I22">
        <v>0</v>
      </c>
      <c r="J22">
        <v>1</v>
      </c>
      <c r="K22">
        <v>0</v>
      </c>
    </row>
    <row r="23" spans="1:11" x14ac:dyDescent="0.3">
      <c r="B23" t="s">
        <v>6</v>
      </c>
      <c r="C23">
        <v>0</v>
      </c>
      <c r="D23">
        <v>2</v>
      </c>
      <c r="E23">
        <v>3</v>
      </c>
      <c r="H23" t="s">
        <v>6</v>
      </c>
      <c r="I23">
        <v>1</v>
      </c>
      <c r="J23">
        <v>0</v>
      </c>
      <c r="K23">
        <v>6</v>
      </c>
    </row>
  </sheetData>
  <mergeCells count="5">
    <mergeCell ref="A1:B1"/>
    <mergeCell ref="G1:H1"/>
    <mergeCell ref="M1:N1"/>
    <mergeCell ref="A13:B13"/>
    <mergeCell ref="G13:H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36658d-ac49-47b7-a59e-e908f59ad6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067A853EBED448818D481A45977CAD" ma:contentTypeVersion="13" ma:contentTypeDescription="Een nieuw document maken." ma:contentTypeScope="" ma:versionID="800a9b9b73224d82f19595a45945cab9">
  <xsd:schema xmlns:xsd="http://www.w3.org/2001/XMLSchema" xmlns:xs="http://www.w3.org/2001/XMLSchema" xmlns:p="http://schemas.microsoft.com/office/2006/metadata/properties" xmlns:ns3="9a36658d-ac49-47b7-a59e-e908f59ad619" xmlns:ns4="4e95ffdb-565a-4842-9a76-98f37fb297b0" targetNamespace="http://schemas.microsoft.com/office/2006/metadata/properties" ma:root="true" ma:fieldsID="2f792393693ac5ebddb1ed28a5e00ea0" ns3:_="" ns4:_="">
    <xsd:import namespace="9a36658d-ac49-47b7-a59e-e908f59ad619"/>
    <xsd:import namespace="4e95ffdb-565a-4842-9a76-98f37fb297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6658d-ac49-47b7-a59e-e908f59ad6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5ffdb-565a-4842-9a76-98f37fb29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0E57F-C26E-457D-8118-6F9D38E4B92D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9a36658d-ac49-47b7-a59e-e908f59ad619"/>
    <ds:schemaRef ds:uri="http://schemas.openxmlformats.org/package/2006/metadata/core-properties"/>
    <ds:schemaRef ds:uri="4e95ffdb-565a-4842-9a76-98f37fb297b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E03D86C-22B9-492F-B259-C3ECE8B715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36658d-ac49-47b7-a59e-e908f59ad619"/>
    <ds:schemaRef ds:uri="4e95ffdb-565a-4842-9a76-98f37fb29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DAD053-BB57-4825-9113-F4AFCF35B5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Transcripts</vt:lpstr>
      <vt:lpstr>Train - Iteration 1</vt:lpstr>
      <vt:lpstr>Train - Iteration 2</vt:lpstr>
      <vt:lpstr>Train - Iteration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Singh</dc:creator>
  <cp:lastModifiedBy>Ananya Singh</cp:lastModifiedBy>
  <dcterms:created xsi:type="dcterms:W3CDTF">2026-05-15T13:06:38Z</dcterms:created>
  <dcterms:modified xsi:type="dcterms:W3CDTF">2026-06-20T18:31:53Z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0x010100A3067A853EBED448818D481A45977CAD</vt:lpwstr>
  </property>
</Properties>
</file>